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hrikant Goswami\Desktop\Archana\Project\"/>
    </mc:Choice>
  </mc:AlternateContent>
  <xr:revisionPtr revIDLastSave="0" documentId="13_ncr:1_{D05B2021-D961-4D28-BA4A-EAE0BB6547EF}" xr6:coauthVersionLast="47" xr6:coauthVersionMax="47" xr10:uidLastSave="{00000000-0000-0000-0000-000000000000}"/>
  <bookViews>
    <workbookView xWindow="-108" yWindow="-108" windowWidth="23256" windowHeight="12456" xr2:uid="{00000000-000D-0000-FFFF-FFFF00000000}"/>
  </bookViews>
  <sheets>
    <sheet name="Dashboard" sheetId="6" r:id="rId1"/>
    <sheet name="Cleaned Data" sheetId="1" r:id="rId2"/>
    <sheet name="Appended Sheet" sheetId="18" r:id="rId3"/>
    <sheet name="Outlier" sheetId="17" r:id="rId4"/>
    <sheet name="Pivot" sheetId="7" r:id="rId5"/>
    <sheet name="Forecast" sheetId="8" r:id="rId6"/>
    <sheet name="Registered forecast" sheetId="16" r:id="rId7"/>
    <sheet name="Casual riderforecast" sheetId="10" r:id="rId8"/>
  </sheets>
  <definedNames>
    <definedName name="_xlnm._FilterDatabase" localSheetId="2" hidden="1">'Appended Sheet'!$A$1:$U$1001</definedName>
    <definedName name="_xlnm._FilterDatabase" localSheetId="1" hidden="1">'Cleaned Data'!$A$1:$Z$97</definedName>
    <definedName name="_xlnm._FilterDatabase" localSheetId="3" hidden="1">Outlier!$A$1:$Z$97</definedName>
    <definedName name="_xlchart.v1.0" hidden="1">Pivot!$R$3:$R$5</definedName>
    <definedName name="_xlchart.v1.1" hidden="1">Pivot!$S$3:$S$5</definedName>
    <definedName name="_xlchart.v1.2" hidden="1">Pivot!$AF$4:$AF$8</definedName>
    <definedName name="_xlchart.v1.3" hidden="1">Pivot!$AG$4:$AG$8</definedName>
    <definedName name="Slicer_Daytype">#N/A</definedName>
    <definedName name="Slicer_Month">#N/A</definedName>
    <definedName name="Slicer_Weather_Type">#N/A</definedName>
    <definedName name="Slicer_Week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8" l="1"/>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G255" i="18" s="1"/>
  <c r="C256" i="18"/>
  <c r="G256" i="18" s="1"/>
  <c r="C257" i="18"/>
  <c r="G257" i="18" s="1"/>
  <c r="C258" i="18"/>
  <c r="G258" i="18" s="1"/>
  <c r="C259" i="18"/>
  <c r="G259" i="18" s="1"/>
  <c r="C260" i="18"/>
  <c r="G260" i="18" s="1"/>
  <c r="C261" i="18"/>
  <c r="G261" i="18" s="1"/>
  <c r="C262" i="18"/>
  <c r="G262" i="18" s="1"/>
  <c r="C263" i="18"/>
  <c r="G263" i="18" s="1"/>
  <c r="C264" i="18"/>
  <c r="G264" i="18" s="1"/>
  <c r="C265" i="18"/>
  <c r="G265" i="18" s="1"/>
  <c r="C266" i="18"/>
  <c r="G266" i="18" s="1"/>
  <c r="C267" i="18"/>
  <c r="G267" i="18" s="1"/>
  <c r="C268" i="18"/>
  <c r="G268" i="18" s="1"/>
  <c r="C269" i="18"/>
  <c r="G269" i="18" s="1"/>
  <c r="C270" i="18"/>
  <c r="G270" i="18" s="1"/>
  <c r="C271" i="18"/>
  <c r="G271" i="18" s="1"/>
  <c r="C272" i="18"/>
  <c r="G272" i="18" s="1"/>
  <c r="C273" i="18"/>
  <c r="G273" i="18" s="1"/>
  <c r="C274" i="18"/>
  <c r="G274" i="18" s="1"/>
  <c r="C275" i="18"/>
  <c r="G275" i="18" s="1"/>
  <c r="C276" i="18"/>
  <c r="G276" i="18" s="1"/>
  <c r="C277" i="18"/>
  <c r="G277" i="18" s="1"/>
  <c r="C278" i="18"/>
  <c r="G278" i="18" s="1"/>
  <c r="C279" i="18"/>
  <c r="G279" i="18" s="1"/>
  <c r="C280" i="18"/>
  <c r="G280" i="18" s="1"/>
  <c r="C281" i="18"/>
  <c r="G281" i="18" s="1"/>
  <c r="C282" i="18"/>
  <c r="G282" i="18" s="1"/>
  <c r="C283" i="18"/>
  <c r="G283" i="18" s="1"/>
  <c r="C284" i="18"/>
  <c r="G284" i="18" s="1"/>
  <c r="C285" i="18"/>
  <c r="G285" i="18" s="1"/>
  <c r="C286" i="18"/>
  <c r="G286" i="18" s="1"/>
  <c r="C287" i="18"/>
  <c r="G287" i="18" s="1"/>
  <c r="C288" i="18"/>
  <c r="G288" i="18" s="1"/>
  <c r="C289" i="18"/>
  <c r="G289" i="18" s="1"/>
  <c r="C290" i="18"/>
  <c r="G290" i="18" s="1"/>
  <c r="C291" i="18"/>
  <c r="G291" i="18" s="1"/>
  <c r="C292" i="18"/>
  <c r="G292" i="18" s="1"/>
  <c r="C293" i="18"/>
  <c r="G293" i="18" s="1"/>
  <c r="C294" i="18"/>
  <c r="G294" i="18" s="1"/>
  <c r="C295" i="18"/>
  <c r="G295" i="18" s="1"/>
  <c r="C296" i="18"/>
  <c r="G296" i="18" s="1"/>
  <c r="C297" i="18"/>
  <c r="G297" i="18" s="1"/>
  <c r="C298" i="18"/>
  <c r="G298" i="18" s="1"/>
  <c r="C299" i="18"/>
  <c r="G299" i="18" s="1"/>
  <c r="C300" i="18"/>
  <c r="G300" i="18" s="1"/>
  <c r="C301" i="18"/>
  <c r="G301" i="18" s="1"/>
  <c r="C302" i="18"/>
  <c r="G302" i="18" s="1"/>
  <c r="C303" i="18"/>
  <c r="G303" i="18" s="1"/>
  <c r="C304" i="18"/>
  <c r="G304" i="18" s="1"/>
  <c r="C305" i="18"/>
  <c r="G305" i="18" s="1"/>
  <c r="C306" i="18"/>
  <c r="G306" i="18" s="1"/>
  <c r="C307" i="18"/>
  <c r="G307" i="18" s="1"/>
  <c r="C308" i="18"/>
  <c r="G308" i="18" s="1"/>
  <c r="C309" i="18"/>
  <c r="G309" i="18" s="1"/>
  <c r="C310" i="18"/>
  <c r="G310" i="18" s="1"/>
  <c r="C311" i="18"/>
  <c r="G311" i="18" s="1"/>
  <c r="C312" i="18"/>
  <c r="G312" i="18" s="1"/>
  <c r="C313" i="18"/>
  <c r="G313" i="18" s="1"/>
  <c r="C314" i="18"/>
  <c r="G314" i="18" s="1"/>
  <c r="C315" i="18"/>
  <c r="G315" i="18" s="1"/>
  <c r="C316" i="18"/>
  <c r="G316" i="18" s="1"/>
  <c r="C317" i="18"/>
  <c r="G317" i="18" s="1"/>
  <c r="C318" i="18"/>
  <c r="G318" i="18" s="1"/>
  <c r="C319" i="18"/>
  <c r="G319" i="18" s="1"/>
  <c r="C320" i="18"/>
  <c r="G320" i="18" s="1"/>
  <c r="C321" i="18"/>
  <c r="G321" i="18" s="1"/>
  <c r="C322" i="18"/>
  <c r="G322" i="18" s="1"/>
  <c r="C323" i="18"/>
  <c r="G323" i="18" s="1"/>
  <c r="C324" i="18"/>
  <c r="G324" i="18" s="1"/>
  <c r="C325" i="18"/>
  <c r="G325" i="18" s="1"/>
  <c r="C326" i="18"/>
  <c r="G326" i="18" s="1"/>
  <c r="C327" i="18"/>
  <c r="G327" i="18" s="1"/>
  <c r="C328" i="18"/>
  <c r="G328" i="18" s="1"/>
  <c r="C329" i="18"/>
  <c r="G329" i="18" s="1"/>
  <c r="C330" i="18"/>
  <c r="G330" i="18" s="1"/>
  <c r="C331" i="18"/>
  <c r="G331" i="18" s="1"/>
  <c r="C332" i="18"/>
  <c r="G332" i="18" s="1"/>
  <c r="C333" i="18"/>
  <c r="G333" i="18" s="1"/>
  <c r="C334" i="18"/>
  <c r="G334" i="18" s="1"/>
  <c r="C335" i="18"/>
  <c r="G335" i="18" s="1"/>
  <c r="C336" i="18"/>
  <c r="G336" i="18" s="1"/>
  <c r="C337" i="18"/>
  <c r="G337" i="18" s="1"/>
  <c r="C338" i="18"/>
  <c r="G338" i="18" s="1"/>
  <c r="C339" i="18"/>
  <c r="G339" i="18" s="1"/>
  <c r="C340" i="18"/>
  <c r="G340" i="18" s="1"/>
  <c r="C341" i="18"/>
  <c r="G341" i="18" s="1"/>
  <c r="C342" i="18"/>
  <c r="G342" i="18" s="1"/>
  <c r="C343" i="18"/>
  <c r="G343" i="18" s="1"/>
  <c r="C344" i="18"/>
  <c r="G344" i="18" s="1"/>
  <c r="C345" i="18"/>
  <c r="G345" i="18" s="1"/>
  <c r="C346" i="18"/>
  <c r="G346" i="18" s="1"/>
  <c r="C347" i="18"/>
  <c r="G347" i="18" s="1"/>
  <c r="C348" i="18"/>
  <c r="G348" i="18" s="1"/>
  <c r="C349" i="18"/>
  <c r="G349" i="18" s="1"/>
  <c r="C350" i="18"/>
  <c r="G350" i="18" s="1"/>
  <c r="C351" i="18"/>
  <c r="G351" i="18" s="1"/>
  <c r="C352" i="18"/>
  <c r="G352" i="18" s="1"/>
  <c r="C353" i="18"/>
  <c r="G353" i="18" s="1"/>
  <c r="C354" i="18"/>
  <c r="G354" i="18" s="1"/>
  <c r="C355" i="18"/>
  <c r="G355" i="18" s="1"/>
  <c r="C356" i="18"/>
  <c r="G356" i="18" s="1"/>
  <c r="C357" i="18"/>
  <c r="G357" i="18" s="1"/>
  <c r="C358" i="18"/>
  <c r="G358" i="18" s="1"/>
  <c r="C359" i="18"/>
  <c r="G359" i="18" s="1"/>
  <c r="C360" i="18"/>
  <c r="G360" i="18" s="1"/>
  <c r="C361" i="18"/>
  <c r="G361" i="18" s="1"/>
  <c r="C362" i="18"/>
  <c r="G362" i="18" s="1"/>
  <c r="C363" i="18"/>
  <c r="G363" i="18" s="1"/>
  <c r="C364" i="18"/>
  <c r="G364" i="18" s="1"/>
  <c r="C365" i="18"/>
  <c r="G365" i="18" s="1"/>
  <c r="C366" i="18"/>
  <c r="G366" i="18" s="1"/>
  <c r="C367" i="18"/>
  <c r="G367" i="18" s="1"/>
  <c r="C368" i="18"/>
  <c r="G368" i="18" s="1"/>
  <c r="C369" i="18"/>
  <c r="G369" i="18" s="1"/>
  <c r="C370" i="18"/>
  <c r="G370" i="18" s="1"/>
  <c r="C371" i="18"/>
  <c r="G371" i="18" s="1"/>
  <c r="C372" i="18"/>
  <c r="G372" i="18" s="1"/>
  <c r="C373" i="18"/>
  <c r="G373" i="18" s="1"/>
  <c r="C374" i="18"/>
  <c r="G374" i="18" s="1"/>
  <c r="C375" i="18"/>
  <c r="G375" i="18" s="1"/>
  <c r="C376" i="18"/>
  <c r="G376" i="18" s="1"/>
  <c r="C377" i="18"/>
  <c r="G377" i="18" s="1"/>
  <c r="C378" i="18"/>
  <c r="G378" i="18" s="1"/>
  <c r="C379" i="18"/>
  <c r="G379" i="18" s="1"/>
  <c r="C380" i="18"/>
  <c r="G380" i="18" s="1"/>
  <c r="C381" i="18"/>
  <c r="G381" i="18" s="1"/>
  <c r="C382" i="18"/>
  <c r="G382" i="18" s="1"/>
  <c r="C383" i="18"/>
  <c r="G383" i="18" s="1"/>
  <c r="C384" i="18"/>
  <c r="G384" i="18" s="1"/>
  <c r="C385" i="18"/>
  <c r="G385" i="18" s="1"/>
  <c r="C386" i="18"/>
  <c r="G386" i="18" s="1"/>
  <c r="C387" i="18"/>
  <c r="G387" i="18" s="1"/>
  <c r="C388" i="18"/>
  <c r="G388" i="18" s="1"/>
  <c r="C389" i="18"/>
  <c r="G389" i="18" s="1"/>
  <c r="C390" i="18"/>
  <c r="G390" i="18" s="1"/>
  <c r="C391" i="18"/>
  <c r="G391" i="18" s="1"/>
  <c r="C392" i="18"/>
  <c r="G392" i="18" s="1"/>
  <c r="C393" i="18"/>
  <c r="G393" i="18" s="1"/>
  <c r="C394" i="18"/>
  <c r="G394" i="18" s="1"/>
  <c r="C395" i="18"/>
  <c r="G395" i="18" s="1"/>
  <c r="C396" i="18"/>
  <c r="G396" i="18" s="1"/>
  <c r="C397" i="18"/>
  <c r="G397" i="18" s="1"/>
  <c r="C398" i="18"/>
  <c r="G398" i="18" s="1"/>
  <c r="C399" i="18"/>
  <c r="G399" i="18" s="1"/>
  <c r="C400" i="18"/>
  <c r="G400" i="18" s="1"/>
  <c r="C401" i="18"/>
  <c r="G401" i="18" s="1"/>
  <c r="C402" i="18"/>
  <c r="G402" i="18" s="1"/>
  <c r="C403" i="18"/>
  <c r="G403" i="18" s="1"/>
  <c r="C404" i="18"/>
  <c r="G404" i="18" s="1"/>
  <c r="C405" i="18"/>
  <c r="G405" i="18" s="1"/>
  <c r="C406" i="18"/>
  <c r="G406" i="18" s="1"/>
  <c r="C407" i="18"/>
  <c r="G407" i="18" s="1"/>
  <c r="C408" i="18"/>
  <c r="G408" i="18" s="1"/>
  <c r="C409" i="18"/>
  <c r="G409" i="18" s="1"/>
  <c r="C410" i="18"/>
  <c r="G410" i="18" s="1"/>
  <c r="C411" i="18"/>
  <c r="G411" i="18" s="1"/>
  <c r="C412" i="18"/>
  <c r="G412" i="18" s="1"/>
  <c r="C413" i="18"/>
  <c r="G413" i="18" s="1"/>
  <c r="C414" i="18"/>
  <c r="G414" i="18" s="1"/>
  <c r="C415" i="18"/>
  <c r="G415" i="18" s="1"/>
  <c r="C416" i="18"/>
  <c r="G416" i="18" s="1"/>
  <c r="C417" i="18"/>
  <c r="G417" i="18" s="1"/>
  <c r="C418" i="18"/>
  <c r="G418" i="18" s="1"/>
  <c r="C419" i="18"/>
  <c r="G419" i="18" s="1"/>
  <c r="C420" i="18"/>
  <c r="G420" i="18" s="1"/>
  <c r="C421" i="18"/>
  <c r="G421" i="18" s="1"/>
  <c r="C422" i="18"/>
  <c r="G422" i="18" s="1"/>
  <c r="C423" i="18"/>
  <c r="G423" i="18" s="1"/>
  <c r="C424" i="18"/>
  <c r="G424" i="18" s="1"/>
  <c r="C425" i="18"/>
  <c r="G425" i="18" s="1"/>
  <c r="C426" i="18"/>
  <c r="G426" i="18" s="1"/>
  <c r="C427" i="18"/>
  <c r="G427" i="18" s="1"/>
  <c r="C428" i="18"/>
  <c r="G428" i="18" s="1"/>
  <c r="C429" i="18"/>
  <c r="G429" i="18" s="1"/>
  <c r="C430" i="18"/>
  <c r="G430" i="18" s="1"/>
  <c r="C431" i="18"/>
  <c r="G431" i="18" s="1"/>
  <c r="C432" i="18"/>
  <c r="G432" i="18" s="1"/>
  <c r="C433" i="18"/>
  <c r="G433" i="18" s="1"/>
  <c r="C434" i="18"/>
  <c r="G434" i="18" s="1"/>
  <c r="C435" i="18"/>
  <c r="G435" i="18" s="1"/>
  <c r="C436" i="18"/>
  <c r="G436" i="18" s="1"/>
  <c r="C437" i="18"/>
  <c r="G437" i="18" s="1"/>
  <c r="C438" i="18"/>
  <c r="G438" i="18" s="1"/>
  <c r="C439" i="18"/>
  <c r="G439" i="18" s="1"/>
  <c r="C440" i="18"/>
  <c r="G440" i="18" s="1"/>
  <c r="C441" i="18"/>
  <c r="G441" i="18" s="1"/>
  <c r="C442" i="18"/>
  <c r="G442" i="18" s="1"/>
  <c r="C443" i="18"/>
  <c r="G443" i="18" s="1"/>
  <c r="C444" i="18"/>
  <c r="G444" i="18" s="1"/>
  <c r="C445" i="18"/>
  <c r="G445" i="18" s="1"/>
  <c r="C446" i="18"/>
  <c r="G446" i="18" s="1"/>
  <c r="C447" i="18"/>
  <c r="G447" i="18" s="1"/>
  <c r="C448" i="18"/>
  <c r="G448" i="18" s="1"/>
  <c r="C449" i="18"/>
  <c r="G449" i="18" s="1"/>
  <c r="C450" i="18"/>
  <c r="G450" i="18" s="1"/>
  <c r="C451" i="18"/>
  <c r="G451" i="18" s="1"/>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G517" i="18" s="1"/>
  <c r="C518" i="18"/>
  <c r="G518" i="18" s="1"/>
  <c r="C519" i="18"/>
  <c r="G519" i="18" s="1"/>
  <c r="C520" i="18"/>
  <c r="G520" i="18" s="1"/>
  <c r="C521" i="18"/>
  <c r="G521" i="18" s="1"/>
  <c r="C522" i="18"/>
  <c r="G522" i="18" s="1"/>
  <c r="C523" i="18"/>
  <c r="G523" i="18" s="1"/>
  <c r="C524" i="18"/>
  <c r="G524" i="18" s="1"/>
  <c r="C525" i="18"/>
  <c r="G525" i="18" s="1"/>
  <c r="C526" i="18"/>
  <c r="G526" i="18" s="1"/>
  <c r="C527" i="18"/>
  <c r="G527" i="18" s="1"/>
  <c r="C528" i="18"/>
  <c r="G528" i="18" s="1"/>
  <c r="C529" i="18"/>
  <c r="G529" i="18" s="1"/>
  <c r="C530" i="18"/>
  <c r="G530" i="18" s="1"/>
  <c r="C531" i="18"/>
  <c r="G531" i="18" s="1"/>
  <c r="C532" i="18"/>
  <c r="G532" i="18" s="1"/>
  <c r="C533" i="18"/>
  <c r="G533" i="18" s="1"/>
  <c r="C534" i="18"/>
  <c r="G534" i="18" s="1"/>
  <c r="C535" i="18"/>
  <c r="G535" i="18" s="1"/>
  <c r="C536" i="18"/>
  <c r="G536" i="18" s="1"/>
  <c r="C537" i="18"/>
  <c r="G537" i="18" s="1"/>
  <c r="C538" i="18"/>
  <c r="G538" i="18" s="1"/>
  <c r="C539" i="18"/>
  <c r="G539" i="18" s="1"/>
  <c r="C540" i="18"/>
  <c r="G540" i="18" s="1"/>
  <c r="C541" i="18"/>
  <c r="G541" i="18" s="1"/>
  <c r="C542" i="18"/>
  <c r="G542" i="18" s="1"/>
  <c r="C543" i="18"/>
  <c r="G543" i="18" s="1"/>
  <c r="C544" i="18"/>
  <c r="G544" i="18" s="1"/>
  <c r="C545" i="18"/>
  <c r="G545" i="18" s="1"/>
  <c r="C546" i="18"/>
  <c r="G546" i="18" s="1"/>
  <c r="C547" i="18"/>
  <c r="G547" i="18" s="1"/>
  <c r="C548" i="18"/>
  <c r="G548" i="18" s="1"/>
  <c r="C549" i="18"/>
  <c r="G549" i="18" s="1"/>
  <c r="C550" i="18"/>
  <c r="G550" i="18" s="1"/>
  <c r="C551" i="18"/>
  <c r="G551" i="18" s="1"/>
  <c r="C552" i="18"/>
  <c r="G552" i="18" s="1"/>
  <c r="C553" i="18"/>
  <c r="G553" i="18" s="1"/>
  <c r="C554" i="18"/>
  <c r="G554" i="18" s="1"/>
  <c r="C555" i="18"/>
  <c r="G555" i="18" s="1"/>
  <c r="C556" i="18"/>
  <c r="G556" i="18" s="1"/>
  <c r="C557" i="18"/>
  <c r="G557" i="18" s="1"/>
  <c r="C558" i="18"/>
  <c r="G558" i="18" s="1"/>
  <c r="C559" i="18"/>
  <c r="G559" i="18" s="1"/>
  <c r="C560" i="18"/>
  <c r="G560" i="18" s="1"/>
  <c r="C561" i="18"/>
  <c r="G561" i="18" s="1"/>
  <c r="C562" i="18"/>
  <c r="G562" i="18" s="1"/>
  <c r="C563" i="18"/>
  <c r="G563" i="18" s="1"/>
  <c r="C564" i="18"/>
  <c r="G564" i="18" s="1"/>
  <c r="C565" i="18"/>
  <c r="G565" i="18" s="1"/>
  <c r="C566" i="18"/>
  <c r="G566" i="18" s="1"/>
  <c r="C567" i="18"/>
  <c r="G567" i="18" s="1"/>
  <c r="C568" i="18"/>
  <c r="G568" i="18" s="1"/>
  <c r="C569" i="18"/>
  <c r="G569" i="18" s="1"/>
  <c r="C570" i="18"/>
  <c r="G570" i="18" s="1"/>
  <c r="C571" i="18"/>
  <c r="G571" i="18" s="1"/>
  <c r="C572" i="18"/>
  <c r="G572" i="18" s="1"/>
  <c r="C573" i="18"/>
  <c r="G573" i="18" s="1"/>
  <c r="C574" i="18"/>
  <c r="G574" i="18" s="1"/>
  <c r="C575" i="18"/>
  <c r="G575" i="18" s="1"/>
  <c r="C576" i="18"/>
  <c r="G576" i="18" s="1"/>
  <c r="C577" i="18"/>
  <c r="G577" i="18" s="1"/>
  <c r="C578" i="18"/>
  <c r="G578" i="18" s="1"/>
  <c r="C579" i="18"/>
  <c r="G579" i="18" s="1"/>
  <c r="C580" i="18"/>
  <c r="G580" i="18" s="1"/>
  <c r="C581" i="18"/>
  <c r="G581" i="18" s="1"/>
  <c r="C582" i="18"/>
  <c r="G582" i="18" s="1"/>
  <c r="C583" i="18"/>
  <c r="G583" i="18" s="1"/>
  <c r="C584" i="18"/>
  <c r="G584" i="18" s="1"/>
  <c r="C585" i="18"/>
  <c r="G585" i="18" s="1"/>
  <c r="C586" i="18"/>
  <c r="G586" i="18" s="1"/>
  <c r="C587" i="18"/>
  <c r="G587" i="18" s="1"/>
  <c r="C588" i="18"/>
  <c r="G588" i="18" s="1"/>
  <c r="C589" i="18"/>
  <c r="G589" i="18" s="1"/>
  <c r="C590" i="18"/>
  <c r="G590" i="18" s="1"/>
  <c r="C591" i="18"/>
  <c r="G591" i="18" s="1"/>
  <c r="C592" i="18"/>
  <c r="G592" i="18" s="1"/>
  <c r="C593" i="18"/>
  <c r="G593" i="18" s="1"/>
  <c r="C594" i="18"/>
  <c r="G594" i="18" s="1"/>
  <c r="C595" i="18"/>
  <c r="G595" i="18" s="1"/>
  <c r="C596" i="18"/>
  <c r="G596" i="18" s="1"/>
  <c r="C597" i="18"/>
  <c r="G597" i="18" s="1"/>
  <c r="C598" i="18"/>
  <c r="G598" i="18" s="1"/>
  <c r="C599" i="18"/>
  <c r="G599" i="18" s="1"/>
  <c r="C600" i="18"/>
  <c r="G600" i="18" s="1"/>
  <c r="C601" i="18"/>
  <c r="G601" i="18" s="1"/>
  <c r="C602" i="18"/>
  <c r="G602" i="18" s="1"/>
  <c r="C603" i="18"/>
  <c r="G603" i="18" s="1"/>
  <c r="C604" i="18"/>
  <c r="G604" i="18" s="1"/>
  <c r="C605" i="18"/>
  <c r="G605" i="18" s="1"/>
  <c r="C606" i="18"/>
  <c r="G606" i="18" s="1"/>
  <c r="C607" i="18"/>
  <c r="G607" i="18" s="1"/>
  <c r="C608" i="18"/>
  <c r="G608" i="18" s="1"/>
  <c r="C609" i="18"/>
  <c r="G609" i="18" s="1"/>
  <c r="C610" i="18"/>
  <c r="G610" i="18" s="1"/>
  <c r="C611" i="18"/>
  <c r="G611" i="18" s="1"/>
  <c r="C612" i="18"/>
  <c r="G612" i="18" s="1"/>
  <c r="C613" i="18"/>
  <c r="G613" i="18" s="1"/>
  <c r="C614" i="18"/>
  <c r="G614" i="18" s="1"/>
  <c r="C615" i="18"/>
  <c r="G615" i="18" s="1"/>
  <c r="C616" i="18"/>
  <c r="G616" i="18" s="1"/>
  <c r="C617" i="18"/>
  <c r="G617" i="18" s="1"/>
  <c r="C618" i="18"/>
  <c r="G618" i="18" s="1"/>
  <c r="C619" i="18"/>
  <c r="G619" i="18" s="1"/>
  <c r="C620" i="18"/>
  <c r="G620" i="18" s="1"/>
  <c r="C621" i="18"/>
  <c r="G621" i="18" s="1"/>
  <c r="C622" i="18"/>
  <c r="G622" i="18" s="1"/>
  <c r="C623" i="18"/>
  <c r="G623" i="18" s="1"/>
  <c r="C624" i="18"/>
  <c r="G624" i="18" s="1"/>
  <c r="C625" i="18"/>
  <c r="G625" i="18" s="1"/>
  <c r="C626" i="18"/>
  <c r="G626" i="18" s="1"/>
  <c r="C627" i="18"/>
  <c r="G627" i="18" s="1"/>
  <c r="C628" i="18"/>
  <c r="G628" i="18" s="1"/>
  <c r="C629" i="18"/>
  <c r="G629" i="18" s="1"/>
  <c r="C630" i="18"/>
  <c r="G630" i="18" s="1"/>
  <c r="C631" i="18"/>
  <c r="G631" i="18" s="1"/>
  <c r="C632" i="18"/>
  <c r="G632" i="18" s="1"/>
  <c r="C633" i="18"/>
  <c r="G633" i="18" s="1"/>
  <c r="C634" i="18"/>
  <c r="G634" i="18" s="1"/>
  <c r="C635" i="18"/>
  <c r="G635" i="18" s="1"/>
  <c r="C636" i="18"/>
  <c r="G636" i="18" s="1"/>
  <c r="C637" i="18"/>
  <c r="G637" i="18" s="1"/>
  <c r="C638" i="18"/>
  <c r="G638" i="18" s="1"/>
  <c r="C639" i="18"/>
  <c r="G639" i="18" s="1"/>
  <c r="C640" i="18"/>
  <c r="G640" i="18" s="1"/>
  <c r="C641" i="18"/>
  <c r="G641" i="18" s="1"/>
  <c r="C642" i="18"/>
  <c r="G642" i="18" s="1"/>
  <c r="C643" i="18"/>
  <c r="G643" i="18" s="1"/>
  <c r="C644" i="18"/>
  <c r="G644" i="18" s="1"/>
  <c r="C645" i="18"/>
  <c r="G645" i="18" s="1"/>
  <c r="C646" i="18"/>
  <c r="G646" i="18" s="1"/>
  <c r="C647" i="18"/>
  <c r="G647" i="18" s="1"/>
  <c r="C648" i="18"/>
  <c r="G648" i="18" s="1"/>
  <c r="C649" i="18"/>
  <c r="G649" i="18" s="1"/>
  <c r="C650" i="18"/>
  <c r="G650" i="18" s="1"/>
  <c r="C651" i="18"/>
  <c r="G651" i="18" s="1"/>
  <c r="C652" i="18"/>
  <c r="G652" i="18" s="1"/>
  <c r="C653" i="18"/>
  <c r="G653" i="18" s="1"/>
  <c r="C654" i="18"/>
  <c r="G654" i="18" s="1"/>
  <c r="C655" i="18"/>
  <c r="G655" i="18" s="1"/>
  <c r="C656" i="18"/>
  <c r="G656" i="18" s="1"/>
  <c r="C657" i="18"/>
  <c r="G657" i="18" s="1"/>
  <c r="C658" i="18"/>
  <c r="G658" i="18" s="1"/>
  <c r="C659" i="18"/>
  <c r="G659" i="18" s="1"/>
  <c r="C660" i="18"/>
  <c r="G660" i="18" s="1"/>
  <c r="C661" i="18"/>
  <c r="G661" i="18" s="1"/>
  <c r="C662" i="18"/>
  <c r="G662" i="18" s="1"/>
  <c r="C663" i="18"/>
  <c r="G663" i="18" s="1"/>
  <c r="C664" i="18"/>
  <c r="G664" i="18" s="1"/>
  <c r="C665" i="18"/>
  <c r="G665" i="18" s="1"/>
  <c r="C666" i="18"/>
  <c r="G666" i="18" s="1"/>
  <c r="C667" i="18"/>
  <c r="G667" i="18" s="1"/>
  <c r="C668" i="18"/>
  <c r="G668" i="18" s="1"/>
  <c r="C669" i="18"/>
  <c r="G669" i="18" s="1"/>
  <c r="C670" i="18"/>
  <c r="G670" i="18" s="1"/>
  <c r="C671" i="18"/>
  <c r="G671" i="18" s="1"/>
  <c r="C672" i="18"/>
  <c r="G672" i="18" s="1"/>
  <c r="C673" i="18"/>
  <c r="G673" i="18" s="1"/>
  <c r="C674" i="18"/>
  <c r="G674" i="18" s="1"/>
  <c r="C675" i="18"/>
  <c r="G675" i="18" s="1"/>
  <c r="C676" i="18"/>
  <c r="G676" i="18" s="1"/>
  <c r="C677" i="18"/>
  <c r="G677" i="18" s="1"/>
  <c r="C678" i="18"/>
  <c r="G678" i="18" s="1"/>
  <c r="C679" i="18"/>
  <c r="G679" i="18" s="1"/>
  <c r="C680" i="18"/>
  <c r="G680" i="18" s="1"/>
  <c r="C681" i="18"/>
  <c r="G681" i="18" s="1"/>
  <c r="C682" i="18"/>
  <c r="G682" i="18" s="1"/>
  <c r="C683" i="18"/>
  <c r="G683" i="18" s="1"/>
  <c r="C684" i="18"/>
  <c r="G684" i="18" s="1"/>
  <c r="C685" i="18"/>
  <c r="G685" i="18" s="1"/>
  <c r="C686" i="18"/>
  <c r="G686" i="18" s="1"/>
  <c r="C687" i="18"/>
  <c r="G687" i="18" s="1"/>
  <c r="C688" i="18"/>
  <c r="G688" i="18" s="1"/>
  <c r="C689" i="18"/>
  <c r="G689" i="18" s="1"/>
  <c r="C690" i="18"/>
  <c r="G690" i="18" s="1"/>
  <c r="C691" i="18"/>
  <c r="G691" i="18" s="1"/>
  <c r="C692" i="18"/>
  <c r="G692" i="18" s="1"/>
  <c r="C693" i="18"/>
  <c r="G693" i="18" s="1"/>
  <c r="C694" i="18"/>
  <c r="G694" i="18" s="1"/>
  <c r="C695" i="18"/>
  <c r="G695" i="18" s="1"/>
  <c r="C696" i="18"/>
  <c r="G696" i="18" s="1"/>
  <c r="C697" i="18"/>
  <c r="G697" i="18" s="1"/>
  <c r="C698" i="18"/>
  <c r="G698" i="18" s="1"/>
  <c r="C699" i="18"/>
  <c r="G699" i="18" s="1"/>
  <c r="C700" i="18"/>
  <c r="G700" i="18" s="1"/>
  <c r="C701" i="18"/>
  <c r="G701" i="18" s="1"/>
  <c r="C702" i="18"/>
  <c r="G702" i="18" s="1"/>
  <c r="C703" i="18"/>
  <c r="G703" i="18" s="1"/>
  <c r="C704" i="18"/>
  <c r="G704" i="18" s="1"/>
  <c r="C705" i="18"/>
  <c r="G705" i="18" s="1"/>
  <c r="C706" i="18"/>
  <c r="G706" i="18" s="1"/>
  <c r="C707" i="18"/>
  <c r="G707" i="18" s="1"/>
  <c r="C708" i="18"/>
  <c r="G708" i="18" s="1"/>
  <c r="C709" i="18"/>
  <c r="G709" i="18" s="1"/>
  <c r="C710" i="18"/>
  <c r="G710" i="18" s="1"/>
  <c r="C711" i="18"/>
  <c r="G711" i="18" s="1"/>
  <c r="C712" i="18"/>
  <c r="G712" i="18" s="1"/>
  <c r="C713" i="18"/>
  <c r="G713" i="18" s="1"/>
  <c r="C714" i="18"/>
  <c r="G714" i="18" s="1"/>
  <c r="C715" i="18"/>
  <c r="G715" i="18" s="1"/>
  <c r="C716" i="18"/>
  <c r="G716" i="18" s="1"/>
  <c r="C717" i="18"/>
  <c r="G717" i="18" s="1"/>
  <c r="C718" i="18"/>
  <c r="G718" i="18" s="1"/>
  <c r="C719" i="18"/>
  <c r="G719" i="18" s="1"/>
  <c r="C720" i="18"/>
  <c r="G720" i="18" s="1"/>
  <c r="C721" i="18"/>
  <c r="G721" i="18" s="1"/>
  <c r="C722" i="18"/>
  <c r="G722" i="18" s="1"/>
  <c r="C723" i="18"/>
  <c r="G723" i="18" s="1"/>
  <c r="C724" i="18"/>
  <c r="G724" i="18" s="1"/>
  <c r="C725" i="18"/>
  <c r="G725" i="18" s="1"/>
  <c r="C726" i="18"/>
  <c r="G726" i="18" s="1"/>
  <c r="C727" i="18"/>
  <c r="G727" i="18" s="1"/>
  <c r="C728" i="18"/>
  <c r="G728" i="18" s="1"/>
  <c r="C729" i="18"/>
  <c r="G729" i="18" s="1"/>
  <c r="C730" i="18"/>
  <c r="G730" i="18" s="1"/>
  <c r="C731" i="18"/>
  <c r="G731" i="18" s="1"/>
  <c r="C732" i="18"/>
  <c r="G732" i="18" s="1"/>
  <c r="C733" i="18"/>
  <c r="G733" i="18" s="1"/>
  <c r="C734" i="18"/>
  <c r="G734" i="18" s="1"/>
  <c r="C735" i="18"/>
  <c r="G735" i="18" s="1"/>
  <c r="C736" i="18"/>
  <c r="G736" i="18" s="1"/>
  <c r="C737" i="18"/>
  <c r="G737" i="18" s="1"/>
  <c r="C738" i="18"/>
  <c r="G738" i="18" s="1"/>
  <c r="C739" i="18"/>
  <c r="G739" i="18" s="1"/>
  <c r="C740" i="18"/>
  <c r="G740" i="18" s="1"/>
  <c r="C741" i="18"/>
  <c r="G741" i="18" s="1"/>
  <c r="C742" i="18"/>
  <c r="G742" i="18" s="1"/>
  <c r="C743" i="18"/>
  <c r="G743" i="18" s="1"/>
  <c r="C744" i="18"/>
  <c r="G744" i="18" s="1"/>
  <c r="C745" i="18"/>
  <c r="G745" i="18" s="1"/>
  <c r="C746" i="18"/>
  <c r="G746" i="18" s="1"/>
  <c r="C747" i="18"/>
  <c r="G747" i="18" s="1"/>
  <c r="C748" i="18"/>
  <c r="G748" i="18" s="1"/>
  <c r="C749" i="18"/>
  <c r="G749" i="18" s="1"/>
  <c r="C750" i="18"/>
  <c r="G750" i="18" s="1"/>
  <c r="C751" i="18"/>
  <c r="G751" i="18" s="1"/>
  <c r="C752" i="18"/>
  <c r="G752" i="18" s="1"/>
  <c r="C753" i="18"/>
  <c r="G753" i="18" s="1"/>
  <c r="C754" i="18"/>
  <c r="G754" i="18" s="1"/>
  <c r="C755" i="18"/>
  <c r="G755" i="18" s="1"/>
  <c r="C756" i="18"/>
  <c r="G756" i="18" s="1"/>
  <c r="C757" i="18"/>
  <c r="G757" i="18" s="1"/>
  <c r="C758" i="18"/>
  <c r="G758" i="18" s="1"/>
  <c r="C759" i="18"/>
  <c r="G759" i="18" s="1"/>
  <c r="C760" i="18"/>
  <c r="G760" i="18" s="1"/>
  <c r="C761" i="18"/>
  <c r="G761" i="18" s="1"/>
  <c r="C762" i="18"/>
  <c r="G762" i="18" s="1"/>
  <c r="C763" i="18"/>
  <c r="G763" i="18" s="1"/>
  <c r="C764" i="18"/>
  <c r="G764" i="18" s="1"/>
  <c r="C765" i="18"/>
  <c r="G765" i="18" s="1"/>
  <c r="C766" i="18"/>
  <c r="G766" i="18" s="1"/>
  <c r="C767" i="18"/>
  <c r="G767" i="18" s="1"/>
  <c r="C768" i="18"/>
  <c r="G768" i="18" s="1"/>
  <c r="C769" i="18"/>
  <c r="G769" i="18" s="1"/>
  <c r="C770" i="18"/>
  <c r="G770" i="18" s="1"/>
  <c r="C771" i="18"/>
  <c r="G771" i="18" s="1"/>
  <c r="C772" i="18"/>
  <c r="G772" i="18" s="1"/>
  <c r="C773" i="18"/>
  <c r="G773" i="18" s="1"/>
  <c r="C774" i="18"/>
  <c r="G774" i="18" s="1"/>
  <c r="C775" i="18"/>
  <c r="G775" i="18" s="1"/>
  <c r="C776" i="18"/>
  <c r="G776" i="18" s="1"/>
  <c r="C777" i="18"/>
  <c r="G777" i="18" s="1"/>
  <c r="C778" i="18"/>
  <c r="G778" i="18" s="1"/>
  <c r="C779" i="18"/>
  <c r="G779" i="18" s="1"/>
  <c r="C780" i="18"/>
  <c r="G780" i="18" s="1"/>
  <c r="C781" i="18"/>
  <c r="G781" i="18" s="1"/>
  <c r="C782" i="18"/>
  <c r="G782" i="18" s="1"/>
  <c r="C783" i="18"/>
  <c r="G783" i="18" s="1"/>
  <c r="C784" i="18"/>
  <c r="G784" i="18" s="1"/>
  <c r="C785" i="18"/>
  <c r="G785" i="18" s="1"/>
  <c r="C786" i="18"/>
  <c r="G786" i="18" s="1"/>
  <c r="C787" i="18"/>
  <c r="G787" i="18" s="1"/>
  <c r="C788" i="18"/>
  <c r="G788" i="18" s="1"/>
  <c r="C789" i="18"/>
  <c r="G789" i="18" s="1"/>
  <c r="C790" i="18"/>
  <c r="G790" i="18" s="1"/>
  <c r="C791" i="18"/>
  <c r="G791" i="18" s="1"/>
  <c r="C792" i="18"/>
  <c r="G792" i="18" s="1"/>
  <c r="C793" i="18"/>
  <c r="G793" i="18" s="1"/>
  <c r="C794" i="18"/>
  <c r="G794" i="18" s="1"/>
  <c r="C795" i="18"/>
  <c r="G795" i="18" s="1"/>
  <c r="C796" i="18"/>
  <c r="G796" i="18" s="1"/>
  <c r="C797" i="18"/>
  <c r="G797" i="18" s="1"/>
  <c r="C798" i="18"/>
  <c r="G798" i="18" s="1"/>
  <c r="C799" i="18"/>
  <c r="G799" i="18" s="1"/>
  <c r="C800" i="18"/>
  <c r="G800" i="18" s="1"/>
  <c r="C801" i="18"/>
  <c r="G801" i="18" s="1"/>
  <c r="C802" i="18"/>
  <c r="G802" i="18" s="1"/>
  <c r="C803" i="18"/>
  <c r="G803" i="18" s="1"/>
  <c r="C804" i="18"/>
  <c r="G804" i="18" s="1"/>
  <c r="C805" i="18"/>
  <c r="G805" i="18" s="1"/>
  <c r="C806" i="18"/>
  <c r="G806" i="18" s="1"/>
  <c r="C807" i="18"/>
  <c r="G807" i="18" s="1"/>
  <c r="C808" i="18"/>
  <c r="G808" i="18" s="1"/>
  <c r="C809" i="18"/>
  <c r="G809" i="18" s="1"/>
  <c r="C810" i="18"/>
  <c r="G810" i="18" s="1"/>
  <c r="C811" i="18"/>
  <c r="G811" i="18" s="1"/>
  <c r="C812" i="18"/>
  <c r="G812" i="18" s="1"/>
  <c r="C813" i="18"/>
  <c r="G813" i="18" s="1"/>
  <c r="C814" i="18"/>
  <c r="G814" i="18" s="1"/>
  <c r="C815" i="18"/>
  <c r="G815" i="18" s="1"/>
  <c r="C816" i="18"/>
  <c r="G816" i="18" s="1"/>
  <c r="C817" i="18"/>
  <c r="G817" i="18" s="1"/>
  <c r="C818" i="18"/>
  <c r="G818" i="18" s="1"/>
  <c r="C819" i="18"/>
  <c r="G819" i="18" s="1"/>
  <c r="C820" i="18"/>
  <c r="G820" i="18" s="1"/>
  <c r="C821" i="18"/>
  <c r="G821" i="18" s="1"/>
  <c r="C822" i="18"/>
  <c r="G822" i="18" s="1"/>
  <c r="C823" i="18"/>
  <c r="G823" i="18" s="1"/>
  <c r="C824" i="18"/>
  <c r="G824" i="18" s="1"/>
  <c r="C825" i="18"/>
  <c r="G825" i="18" s="1"/>
  <c r="C826" i="18"/>
  <c r="G826" i="18" s="1"/>
  <c r="C827" i="18"/>
  <c r="G827" i="18" s="1"/>
  <c r="C828" i="18"/>
  <c r="G828" i="18" s="1"/>
  <c r="C829" i="18"/>
  <c r="G829" i="18" s="1"/>
  <c r="C830" i="18"/>
  <c r="G830" i="18" s="1"/>
  <c r="C831" i="18"/>
  <c r="G831" i="18" s="1"/>
  <c r="C832" i="18"/>
  <c r="G832" i="18" s="1"/>
  <c r="C833" i="18"/>
  <c r="G833" i="18" s="1"/>
  <c r="C834" i="18"/>
  <c r="G834" i="18" s="1"/>
  <c r="C835" i="18"/>
  <c r="G835" i="18" s="1"/>
  <c r="C836" i="18"/>
  <c r="G836" i="18" s="1"/>
  <c r="C837" i="18"/>
  <c r="G837" i="18" s="1"/>
  <c r="C838" i="18"/>
  <c r="G838" i="18" s="1"/>
  <c r="C839" i="18"/>
  <c r="G839" i="18" s="1"/>
  <c r="C840" i="18"/>
  <c r="G840" i="18" s="1"/>
  <c r="C841" i="18"/>
  <c r="G841" i="18" s="1"/>
  <c r="C842" i="18"/>
  <c r="G842" i="18" s="1"/>
  <c r="C843" i="18"/>
  <c r="G843" i="18" s="1"/>
  <c r="C844" i="18"/>
  <c r="G844" i="18" s="1"/>
  <c r="C845" i="18"/>
  <c r="G845" i="18" s="1"/>
  <c r="C846" i="18"/>
  <c r="G846" i="18" s="1"/>
  <c r="C847" i="18"/>
  <c r="G847" i="18" s="1"/>
  <c r="C848" i="18"/>
  <c r="G848" i="18" s="1"/>
  <c r="C849" i="18"/>
  <c r="G849" i="18" s="1"/>
  <c r="C850" i="18"/>
  <c r="G850" i="18" s="1"/>
  <c r="C851" i="18"/>
  <c r="G851" i="18" s="1"/>
  <c r="C852" i="18"/>
  <c r="G852" i="18" s="1"/>
  <c r="C853" i="18"/>
  <c r="G853" i="18" s="1"/>
  <c r="C854" i="18"/>
  <c r="G854" i="18" s="1"/>
  <c r="C855" i="18"/>
  <c r="G855" i="18" s="1"/>
  <c r="C856" i="18"/>
  <c r="G856" i="18" s="1"/>
  <c r="C857" i="18"/>
  <c r="G857" i="18" s="1"/>
  <c r="C858" i="18"/>
  <c r="G858" i="18" s="1"/>
  <c r="C859" i="18"/>
  <c r="G859" i="18" s="1"/>
  <c r="C860" i="18"/>
  <c r="G860" i="18" s="1"/>
  <c r="C861" i="18"/>
  <c r="G861" i="18" s="1"/>
  <c r="C862" i="18"/>
  <c r="G862" i="18" s="1"/>
  <c r="C863" i="18"/>
  <c r="G863" i="18" s="1"/>
  <c r="C864" i="18"/>
  <c r="G864" i="18" s="1"/>
  <c r="C865" i="18"/>
  <c r="G865" i="18" s="1"/>
  <c r="C866" i="18"/>
  <c r="G866" i="18" s="1"/>
  <c r="C867" i="18"/>
  <c r="G867" i="18" s="1"/>
  <c r="C868" i="18"/>
  <c r="G868" i="18" s="1"/>
  <c r="C869" i="18"/>
  <c r="G869" i="18" s="1"/>
  <c r="C870" i="18"/>
  <c r="G870" i="18" s="1"/>
  <c r="C871" i="18"/>
  <c r="G871" i="18" s="1"/>
  <c r="C872" i="18"/>
  <c r="G872" i="18" s="1"/>
  <c r="C873" i="18"/>
  <c r="G873" i="18" s="1"/>
  <c r="C874" i="18"/>
  <c r="G874" i="18" s="1"/>
  <c r="C875" i="18"/>
  <c r="G875" i="18" s="1"/>
  <c r="C876" i="18"/>
  <c r="G876" i="18" s="1"/>
  <c r="C877" i="18"/>
  <c r="G877" i="18" s="1"/>
  <c r="C878" i="18"/>
  <c r="G878" i="18" s="1"/>
  <c r="C879" i="18"/>
  <c r="G879" i="18" s="1"/>
  <c r="C880" i="18"/>
  <c r="G880" i="18" s="1"/>
  <c r="C881" i="18"/>
  <c r="G881" i="18" s="1"/>
  <c r="C882" i="18"/>
  <c r="G882" i="18" s="1"/>
  <c r="C883" i="18"/>
  <c r="G883" i="18" s="1"/>
  <c r="C884" i="18"/>
  <c r="G884" i="18" s="1"/>
  <c r="C885" i="18"/>
  <c r="G885" i="18" s="1"/>
  <c r="C886" i="18"/>
  <c r="G886" i="18" s="1"/>
  <c r="C887" i="18"/>
  <c r="G887" i="18" s="1"/>
  <c r="C888" i="18"/>
  <c r="G888" i="18" s="1"/>
  <c r="C889" i="18"/>
  <c r="G889" i="18" s="1"/>
  <c r="C890" i="18"/>
  <c r="G890" i="18" s="1"/>
  <c r="C891" i="18"/>
  <c r="G891" i="18" s="1"/>
  <c r="C892" i="18"/>
  <c r="G892" i="18" s="1"/>
  <c r="C893" i="18"/>
  <c r="G893" i="18" s="1"/>
  <c r="C894" i="18"/>
  <c r="G894" i="18" s="1"/>
  <c r="C895" i="18"/>
  <c r="G895" i="18" s="1"/>
  <c r="C896" i="18"/>
  <c r="G896" i="18" s="1"/>
  <c r="C897" i="18"/>
  <c r="G897" i="18" s="1"/>
  <c r="C898" i="18"/>
  <c r="G898" i="18" s="1"/>
  <c r="C899" i="18"/>
  <c r="G899" i="18" s="1"/>
  <c r="C900" i="18"/>
  <c r="G900" i="18" s="1"/>
  <c r="C901" i="18"/>
  <c r="G901" i="18" s="1"/>
  <c r="C902" i="18"/>
  <c r="G902" i="18" s="1"/>
  <c r="C903" i="18"/>
  <c r="G903" i="18" s="1"/>
  <c r="C904" i="18"/>
  <c r="G904" i="18" s="1"/>
  <c r="C905" i="18"/>
  <c r="G905" i="18" s="1"/>
  <c r="C906" i="18"/>
  <c r="G906" i="18" s="1"/>
  <c r="C907" i="18"/>
  <c r="G907" i="18" s="1"/>
  <c r="C908" i="18"/>
  <c r="G908" i="18" s="1"/>
  <c r="C909" i="18"/>
  <c r="G909" i="18" s="1"/>
  <c r="C910" i="18"/>
  <c r="G910" i="18" s="1"/>
  <c r="C911" i="18"/>
  <c r="G911" i="18" s="1"/>
  <c r="C912" i="18"/>
  <c r="G912" i="18" s="1"/>
  <c r="C913" i="18"/>
  <c r="G913" i="18" s="1"/>
  <c r="C914" i="18"/>
  <c r="G914" i="18" s="1"/>
  <c r="C915" i="18"/>
  <c r="G915" i="18" s="1"/>
  <c r="C916" i="18"/>
  <c r="G916" i="18" s="1"/>
  <c r="C917" i="18"/>
  <c r="G917" i="18" s="1"/>
  <c r="C918" i="18"/>
  <c r="G918" i="18" s="1"/>
  <c r="C919" i="18"/>
  <c r="G919" i="18" s="1"/>
  <c r="C920" i="18"/>
  <c r="G920" i="18" s="1"/>
  <c r="C921" i="18"/>
  <c r="G921" i="18" s="1"/>
  <c r="C922" i="18"/>
  <c r="G922" i="18" s="1"/>
  <c r="C923" i="18"/>
  <c r="G923" i="18" s="1"/>
  <c r="C924" i="18"/>
  <c r="G924" i="18" s="1"/>
  <c r="C925" i="18"/>
  <c r="G925" i="18" s="1"/>
  <c r="C926" i="18"/>
  <c r="G926" i="18" s="1"/>
  <c r="C927" i="18"/>
  <c r="G927" i="18" s="1"/>
  <c r="C928" i="18"/>
  <c r="G928" i="18" s="1"/>
  <c r="C929" i="18"/>
  <c r="G929" i="18" s="1"/>
  <c r="C930" i="18"/>
  <c r="G930" i="18" s="1"/>
  <c r="C931" i="18"/>
  <c r="G931" i="18" s="1"/>
  <c r="C932" i="18"/>
  <c r="G932" i="18" s="1"/>
  <c r="C933" i="18"/>
  <c r="G933" i="18" s="1"/>
  <c r="C934" i="18"/>
  <c r="G934" i="18" s="1"/>
  <c r="C935" i="18"/>
  <c r="G935" i="18" s="1"/>
  <c r="C936" i="18"/>
  <c r="G936" i="18" s="1"/>
  <c r="C937" i="18"/>
  <c r="G937" i="18" s="1"/>
  <c r="C938" i="18"/>
  <c r="G938" i="18" s="1"/>
  <c r="C939" i="18"/>
  <c r="G939" i="18" s="1"/>
  <c r="C940" i="18"/>
  <c r="G940" i="18" s="1"/>
  <c r="C941" i="18"/>
  <c r="G941" i="18" s="1"/>
  <c r="C942" i="18"/>
  <c r="G942" i="18" s="1"/>
  <c r="C943" i="18"/>
  <c r="G943" i="18" s="1"/>
  <c r="C944" i="18"/>
  <c r="G944" i="18" s="1"/>
  <c r="C945" i="18"/>
  <c r="G945" i="18" s="1"/>
  <c r="C946" i="18"/>
  <c r="G946" i="18" s="1"/>
  <c r="C947" i="18"/>
  <c r="G947" i="18" s="1"/>
  <c r="C948" i="18"/>
  <c r="G948" i="18" s="1"/>
  <c r="C949" i="18"/>
  <c r="G949" i="18" s="1"/>
  <c r="C950" i="18"/>
  <c r="G950" i="18" s="1"/>
  <c r="C951" i="18"/>
  <c r="G951" i="18" s="1"/>
  <c r="C952" i="18"/>
  <c r="G952" i="18" s="1"/>
  <c r="C953" i="18"/>
  <c r="G953" i="18" s="1"/>
  <c r="C954" i="18"/>
  <c r="G954" i="18" s="1"/>
  <c r="C955" i="18"/>
  <c r="G955" i="18" s="1"/>
  <c r="C956" i="18"/>
  <c r="G956" i="18" s="1"/>
  <c r="C957" i="18"/>
  <c r="G957" i="18" s="1"/>
  <c r="C958" i="18"/>
  <c r="G958" i="18" s="1"/>
  <c r="C959" i="18"/>
  <c r="G959" i="18" s="1"/>
  <c r="C960" i="18"/>
  <c r="G960" i="18" s="1"/>
  <c r="C961" i="18"/>
  <c r="G961" i="18" s="1"/>
  <c r="C962" i="18"/>
  <c r="G962" i="18" s="1"/>
  <c r="C963" i="18"/>
  <c r="G963" i="18" s="1"/>
  <c r="C964" i="18"/>
  <c r="G964" i="18" s="1"/>
  <c r="C965" i="18"/>
  <c r="G965" i="18" s="1"/>
  <c r="C966" i="18"/>
  <c r="G966" i="18" s="1"/>
  <c r="C967" i="18"/>
  <c r="G967" i="18" s="1"/>
  <c r="C968" i="18"/>
  <c r="G968" i="18" s="1"/>
  <c r="C969" i="18"/>
  <c r="G969" i="18" s="1"/>
  <c r="C970" i="18"/>
  <c r="G970" i="18" s="1"/>
  <c r="C971" i="18"/>
  <c r="G971" i="18" s="1"/>
  <c r="C972" i="18"/>
  <c r="G972" i="18" s="1"/>
  <c r="C973" i="18"/>
  <c r="G973" i="18" s="1"/>
  <c r="C974" i="18"/>
  <c r="G974" i="18" s="1"/>
  <c r="C975" i="18"/>
  <c r="G975" i="18" s="1"/>
  <c r="C976" i="18"/>
  <c r="G976" i="18" s="1"/>
  <c r="C977" i="18"/>
  <c r="G977" i="18" s="1"/>
  <c r="C978" i="18"/>
  <c r="G978" i="18" s="1"/>
  <c r="C979" i="18"/>
  <c r="G979" i="18" s="1"/>
  <c r="C980" i="18"/>
  <c r="G980" i="18" s="1"/>
  <c r="C981" i="18"/>
  <c r="G981" i="18" s="1"/>
  <c r="C982" i="18"/>
  <c r="G982" i="18" s="1"/>
  <c r="C983" i="18"/>
  <c r="G983" i="18" s="1"/>
  <c r="C984" i="18"/>
  <c r="G984" i="18" s="1"/>
  <c r="C985" i="18"/>
  <c r="G985" i="18" s="1"/>
  <c r="C986" i="18"/>
  <c r="G986" i="18" s="1"/>
  <c r="C987" i="18"/>
  <c r="G987" i="18" s="1"/>
  <c r="C988" i="18"/>
  <c r="G988" i="18" s="1"/>
  <c r="C989" i="18"/>
  <c r="G989" i="18" s="1"/>
  <c r="C990" i="18"/>
  <c r="G990" i="18" s="1"/>
  <c r="C991" i="18"/>
  <c r="G991" i="18" s="1"/>
  <c r="C992" i="18"/>
  <c r="G992" i="18" s="1"/>
  <c r="C993" i="18"/>
  <c r="G993" i="18" s="1"/>
  <c r="C994" i="18"/>
  <c r="G994" i="18" s="1"/>
  <c r="C995" i="18"/>
  <c r="G995" i="18" s="1"/>
  <c r="C996" i="18"/>
  <c r="G996" i="18" s="1"/>
  <c r="C997" i="18"/>
  <c r="G997" i="18" s="1"/>
  <c r="C998" i="18"/>
  <c r="G998" i="18" s="1"/>
  <c r="C999" i="18"/>
  <c r="G999" i="18" s="1"/>
  <c r="C1000" i="18"/>
  <c r="G1000" i="18" s="1"/>
  <c r="C1001" i="18"/>
  <c r="G1001" i="18" s="1"/>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2" i="18"/>
  <c r="N1001" i="18" a="1"/>
  <c r="I1001" i="18"/>
  <c r="N1000" i="18" a="1"/>
  <c r="I1000" i="18"/>
  <c r="N999" i="18" a="1"/>
  <c r="I999" i="18"/>
  <c r="N998" i="18" a="1"/>
  <c r="I998" i="18"/>
  <c r="N997" i="18" a="1"/>
  <c r="I997" i="18"/>
  <c r="N996" i="18" a="1"/>
  <c r="I996" i="18"/>
  <c r="N995" i="18" a="1"/>
  <c r="I995" i="18"/>
  <c r="N994" i="18" a="1"/>
  <c r="I994" i="18"/>
  <c r="N993" i="18" a="1"/>
  <c r="I993" i="18"/>
  <c r="N992" i="18" a="1"/>
  <c r="I992" i="18"/>
  <c r="N991" i="18" a="1"/>
  <c r="I991" i="18"/>
  <c r="N990" i="18" a="1"/>
  <c r="I990" i="18"/>
  <c r="N989" i="18" a="1"/>
  <c r="I989" i="18"/>
  <c r="N988" i="18" a="1"/>
  <c r="I988" i="18"/>
  <c r="N987" i="18" a="1"/>
  <c r="I987" i="18"/>
  <c r="N986" i="18" a="1"/>
  <c r="I986" i="18"/>
  <c r="N985" i="18" a="1"/>
  <c r="I985" i="18"/>
  <c r="N984" i="18" a="1"/>
  <c r="I984" i="18"/>
  <c r="N983" i="18" a="1"/>
  <c r="I983" i="18"/>
  <c r="N982" i="18" a="1"/>
  <c r="I982" i="18"/>
  <c r="N981" i="18" a="1"/>
  <c r="I981" i="18"/>
  <c r="N980" i="18" a="1"/>
  <c r="I980" i="18"/>
  <c r="N979" i="18" a="1"/>
  <c r="I979" i="18"/>
  <c r="N978" i="18" a="1"/>
  <c r="I978" i="18"/>
  <c r="N977" i="18" a="1"/>
  <c r="I977" i="18"/>
  <c r="N976" i="18" a="1"/>
  <c r="I976" i="18"/>
  <c r="N975" i="18" a="1"/>
  <c r="I975" i="18"/>
  <c r="N974" i="18" a="1"/>
  <c r="I974" i="18"/>
  <c r="N973" i="18" a="1"/>
  <c r="I973" i="18"/>
  <c r="N972" i="18" a="1"/>
  <c r="I972" i="18"/>
  <c r="N971" i="18" a="1"/>
  <c r="I971" i="18"/>
  <c r="N970" i="18" a="1"/>
  <c r="I970" i="18"/>
  <c r="N969" i="18" a="1"/>
  <c r="I969" i="18"/>
  <c r="N968" i="18" a="1"/>
  <c r="I968" i="18"/>
  <c r="N967" i="18" a="1"/>
  <c r="I967" i="18"/>
  <c r="N966" i="18" a="1"/>
  <c r="I966" i="18"/>
  <c r="N965" i="18" a="1"/>
  <c r="I965" i="18"/>
  <c r="N964" i="18" a="1"/>
  <c r="I964" i="18"/>
  <c r="N963" i="18" a="1"/>
  <c r="I963" i="18"/>
  <c r="N962" i="18" a="1"/>
  <c r="I962" i="18"/>
  <c r="N961" i="18" a="1"/>
  <c r="I961" i="18"/>
  <c r="N960" i="18" a="1"/>
  <c r="I960" i="18"/>
  <c r="N959" i="18" a="1"/>
  <c r="I959" i="18"/>
  <c r="N958" i="18" a="1"/>
  <c r="I958" i="18"/>
  <c r="N957" i="18" a="1"/>
  <c r="I957" i="18"/>
  <c r="N956" i="18" a="1"/>
  <c r="I956" i="18"/>
  <c r="N955" i="18" a="1"/>
  <c r="I955" i="18"/>
  <c r="N954" i="18" a="1"/>
  <c r="I954" i="18"/>
  <c r="N953" i="18" a="1"/>
  <c r="I953" i="18"/>
  <c r="N952" i="18" a="1"/>
  <c r="I952" i="18"/>
  <c r="N951" i="18" a="1"/>
  <c r="I951" i="18"/>
  <c r="N950" i="18" a="1"/>
  <c r="I950" i="18"/>
  <c r="N949" i="18" a="1"/>
  <c r="I949" i="18"/>
  <c r="N948" i="18" a="1"/>
  <c r="I948" i="18"/>
  <c r="N947" i="18" a="1"/>
  <c r="I947" i="18"/>
  <c r="N946" i="18" a="1"/>
  <c r="I946" i="18"/>
  <c r="N945" i="18" a="1"/>
  <c r="I945" i="18"/>
  <c r="N944" i="18" a="1"/>
  <c r="I944" i="18"/>
  <c r="N943" i="18" a="1"/>
  <c r="I943" i="18"/>
  <c r="N942" i="18" a="1"/>
  <c r="I942" i="18"/>
  <c r="N941" i="18" a="1"/>
  <c r="I941" i="18"/>
  <c r="N940" i="18" a="1"/>
  <c r="I940" i="18"/>
  <c r="N939" i="18" a="1"/>
  <c r="I939" i="18"/>
  <c r="N938" i="18" a="1"/>
  <c r="I938" i="18"/>
  <c r="N937" i="18" a="1"/>
  <c r="I937" i="18"/>
  <c r="N936" i="18" a="1"/>
  <c r="I936" i="18"/>
  <c r="N935" i="18" a="1"/>
  <c r="I935" i="18"/>
  <c r="N934" i="18" a="1"/>
  <c r="I934" i="18"/>
  <c r="N933" i="18" a="1"/>
  <c r="I933" i="18"/>
  <c r="N932" i="18" a="1"/>
  <c r="I932" i="18"/>
  <c r="N931" i="18" a="1"/>
  <c r="I931" i="18"/>
  <c r="N930" i="18" a="1"/>
  <c r="I930" i="18"/>
  <c r="N929" i="18" a="1"/>
  <c r="I929" i="18"/>
  <c r="N928" i="18" a="1"/>
  <c r="I928" i="18"/>
  <c r="N927" i="18" a="1"/>
  <c r="I927" i="18"/>
  <c r="N926" i="18" a="1"/>
  <c r="I926" i="18"/>
  <c r="N925" i="18" a="1"/>
  <c r="I925" i="18"/>
  <c r="N924" i="18" a="1"/>
  <c r="I924" i="18"/>
  <c r="N923" i="18" a="1"/>
  <c r="I923" i="18"/>
  <c r="N922" i="18" a="1"/>
  <c r="I922" i="18"/>
  <c r="N921" i="18" a="1"/>
  <c r="I921" i="18"/>
  <c r="N920" i="18" a="1"/>
  <c r="I920" i="18"/>
  <c r="N919" i="18" a="1"/>
  <c r="I919" i="18"/>
  <c r="N918" i="18" a="1"/>
  <c r="I918" i="18"/>
  <c r="N917" i="18" a="1"/>
  <c r="I917" i="18"/>
  <c r="N916" i="18" a="1"/>
  <c r="I916" i="18"/>
  <c r="N915" i="18" a="1"/>
  <c r="I915" i="18"/>
  <c r="N914" i="18" a="1"/>
  <c r="I914" i="18"/>
  <c r="N913" i="18" a="1"/>
  <c r="I913" i="18"/>
  <c r="N912" i="18" a="1"/>
  <c r="I912" i="18"/>
  <c r="N911" i="18" a="1"/>
  <c r="I911" i="18"/>
  <c r="N910" i="18" a="1"/>
  <c r="I910" i="18"/>
  <c r="N909" i="18" a="1"/>
  <c r="I909" i="18"/>
  <c r="N908" i="18" a="1"/>
  <c r="I908" i="18"/>
  <c r="N907" i="18" a="1"/>
  <c r="I907" i="18"/>
  <c r="N906" i="18" a="1"/>
  <c r="I906" i="18"/>
  <c r="N905" i="18" a="1"/>
  <c r="I905" i="18"/>
  <c r="N904" i="18" a="1"/>
  <c r="I904" i="18"/>
  <c r="N903" i="18" a="1"/>
  <c r="I903" i="18"/>
  <c r="N902" i="18" a="1"/>
  <c r="I902" i="18"/>
  <c r="N901" i="18" a="1"/>
  <c r="I901" i="18"/>
  <c r="N900" i="18" a="1"/>
  <c r="I900" i="18"/>
  <c r="N899" i="18" a="1"/>
  <c r="I899" i="18"/>
  <c r="N898" i="18" a="1"/>
  <c r="I898" i="18"/>
  <c r="N897" i="18" a="1"/>
  <c r="I897" i="18"/>
  <c r="N896" i="18" a="1"/>
  <c r="I896" i="18"/>
  <c r="N895" i="18" a="1"/>
  <c r="I895" i="18"/>
  <c r="N894" i="18" a="1"/>
  <c r="I894" i="18"/>
  <c r="N893" i="18" a="1"/>
  <c r="I893" i="18"/>
  <c r="N892" i="18" a="1"/>
  <c r="I892" i="18"/>
  <c r="N891" i="18" a="1"/>
  <c r="I891" i="18"/>
  <c r="N890" i="18" a="1"/>
  <c r="I890" i="18"/>
  <c r="N889" i="18" a="1"/>
  <c r="I889" i="18"/>
  <c r="N888" i="18" a="1"/>
  <c r="I888" i="18"/>
  <c r="N887" i="18" a="1"/>
  <c r="I887" i="18"/>
  <c r="N886" i="18" a="1"/>
  <c r="I886" i="18"/>
  <c r="N885" i="18" a="1"/>
  <c r="I885" i="18"/>
  <c r="N884" i="18" a="1"/>
  <c r="I884" i="18"/>
  <c r="N883" i="18" a="1"/>
  <c r="I883" i="18"/>
  <c r="N882" i="18" a="1"/>
  <c r="I882" i="18"/>
  <c r="N881" i="18" a="1"/>
  <c r="I881" i="18"/>
  <c r="N880" i="18" a="1"/>
  <c r="I880" i="18"/>
  <c r="N879" i="18" a="1"/>
  <c r="I879" i="18"/>
  <c r="N878" i="18" a="1"/>
  <c r="I878" i="18"/>
  <c r="N877" i="18" a="1"/>
  <c r="I877" i="18"/>
  <c r="N876" i="18" a="1"/>
  <c r="I876" i="18"/>
  <c r="N875" i="18" a="1"/>
  <c r="I875" i="18"/>
  <c r="N874" i="18" a="1"/>
  <c r="I874" i="18"/>
  <c r="N873" i="18" a="1"/>
  <c r="I873" i="18"/>
  <c r="N872" i="18" a="1"/>
  <c r="I872" i="18"/>
  <c r="N871" i="18" a="1"/>
  <c r="I871" i="18"/>
  <c r="N870" i="18" a="1"/>
  <c r="I870" i="18"/>
  <c r="N869" i="18" a="1"/>
  <c r="I869" i="18"/>
  <c r="N868" i="18" a="1"/>
  <c r="I868" i="18"/>
  <c r="N867" i="18" a="1"/>
  <c r="I867" i="18"/>
  <c r="N866" i="18" a="1"/>
  <c r="I866" i="18"/>
  <c r="N865" i="18" a="1"/>
  <c r="I865" i="18"/>
  <c r="N864" i="18" a="1"/>
  <c r="I864" i="18"/>
  <c r="N863" i="18" a="1"/>
  <c r="I863" i="18"/>
  <c r="N862" i="18" a="1"/>
  <c r="I862" i="18"/>
  <c r="N861" i="18" a="1"/>
  <c r="I861" i="18"/>
  <c r="N860" i="18" a="1"/>
  <c r="I860" i="18"/>
  <c r="N859" i="18" a="1"/>
  <c r="I859" i="18"/>
  <c r="N858" i="18" a="1"/>
  <c r="I858" i="18"/>
  <c r="N857" i="18" a="1"/>
  <c r="I857" i="18"/>
  <c r="N856" i="18" a="1"/>
  <c r="I856" i="18"/>
  <c r="N855" i="18" a="1"/>
  <c r="I855" i="18"/>
  <c r="N854" i="18" a="1"/>
  <c r="I854" i="18"/>
  <c r="N853" i="18" a="1"/>
  <c r="I853" i="18"/>
  <c r="N852" i="18" a="1"/>
  <c r="I852" i="18"/>
  <c r="N851" i="18" a="1"/>
  <c r="I851" i="18"/>
  <c r="N850" i="18" a="1"/>
  <c r="I850" i="18"/>
  <c r="N849" i="18" a="1"/>
  <c r="I849" i="18"/>
  <c r="N848" i="18" a="1"/>
  <c r="I848" i="18"/>
  <c r="N847" i="18" a="1"/>
  <c r="I847" i="18"/>
  <c r="N846" i="18" a="1"/>
  <c r="I846" i="18"/>
  <c r="N845" i="18" a="1"/>
  <c r="I845" i="18"/>
  <c r="N844" i="18" a="1"/>
  <c r="I844" i="18"/>
  <c r="N843" i="18" a="1"/>
  <c r="I843" i="18"/>
  <c r="N842" i="18" a="1"/>
  <c r="I842" i="18"/>
  <c r="N841" i="18" a="1"/>
  <c r="I841" i="18"/>
  <c r="N840" i="18" a="1"/>
  <c r="I840" i="18"/>
  <c r="N839" i="18" a="1"/>
  <c r="I839" i="18"/>
  <c r="N838" i="18" a="1"/>
  <c r="I838" i="18"/>
  <c r="N837" i="18" a="1"/>
  <c r="I837" i="18"/>
  <c r="N836" i="18" a="1"/>
  <c r="I836" i="18"/>
  <c r="N835" i="18" a="1"/>
  <c r="I835" i="18"/>
  <c r="N834" i="18" a="1"/>
  <c r="I834" i="18"/>
  <c r="N833" i="18" a="1"/>
  <c r="I833" i="18"/>
  <c r="N832" i="18" a="1"/>
  <c r="I832" i="18"/>
  <c r="N831" i="18" a="1"/>
  <c r="I831" i="18"/>
  <c r="N830" i="18" a="1"/>
  <c r="I830" i="18"/>
  <c r="N829" i="18" a="1"/>
  <c r="I829" i="18"/>
  <c r="N828" i="18" a="1"/>
  <c r="I828" i="18"/>
  <c r="N827" i="18" a="1"/>
  <c r="I827" i="18"/>
  <c r="N826" i="18" a="1"/>
  <c r="I826" i="18"/>
  <c r="N825" i="18" a="1"/>
  <c r="I825" i="18"/>
  <c r="N824" i="18" a="1"/>
  <c r="I824" i="18"/>
  <c r="N823" i="18" a="1"/>
  <c r="I823" i="18"/>
  <c r="N822" i="18" a="1"/>
  <c r="I822" i="18"/>
  <c r="N821" i="18" a="1"/>
  <c r="I821" i="18"/>
  <c r="N820" i="18" a="1"/>
  <c r="I820" i="18"/>
  <c r="N819" i="18" a="1"/>
  <c r="I819" i="18"/>
  <c r="N818" i="18" a="1"/>
  <c r="I818" i="18"/>
  <c r="N817" i="18" a="1"/>
  <c r="I817" i="18"/>
  <c r="N816" i="18" a="1"/>
  <c r="I816" i="18"/>
  <c r="N815" i="18" a="1"/>
  <c r="I815" i="18"/>
  <c r="N814" i="18" a="1"/>
  <c r="I814" i="18"/>
  <c r="N813" i="18" a="1"/>
  <c r="I813" i="18"/>
  <c r="N812" i="18" a="1"/>
  <c r="I812" i="18"/>
  <c r="N811" i="18" a="1"/>
  <c r="I811" i="18"/>
  <c r="N810" i="18" a="1"/>
  <c r="I810" i="18"/>
  <c r="N809" i="18" a="1"/>
  <c r="I809" i="18"/>
  <c r="N808" i="18" a="1"/>
  <c r="I808" i="18"/>
  <c r="N807" i="18" a="1"/>
  <c r="I807" i="18"/>
  <c r="N806" i="18" a="1"/>
  <c r="I806" i="18"/>
  <c r="N805" i="18" a="1"/>
  <c r="I805" i="18"/>
  <c r="N804" i="18" a="1"/>
  <c r="I804" i="18"/>
  <c r="N803" i="18" a="1"/>
  <c r="I803" i="18"/>
  <c r="N802" i="18" a="1"/>
  <c r="I802" i="18"/>
  <c r="N801" i="18" a="1"/>
  <c r="I801" i="18"/>
  <c r="N800" i="18" a="1"/>
  <c r="I800" i="18"/>
  <c r="N799" i="18" a="1"/>
  <c r="I799" i="18"/>
  <c r="N798" i="18" a="1"/>
  <c r="I798" i="18"/>
  <c r="N797" i="18" a="1"/>
  <c r="I797" i="18"/>
  <c r="N796" i="18" a="1"/>
  <c r="I796" i="18"/>
  <c r="N795" i="18" a="1"/>
  <c r="I795" i="18"/>
  <c r="N794" i="18" a="1"/>
  <c r="I794" i="18"/>
  <c r="N793" i="18" a="1"/>
  <c r="I793" i="18"/>
  <c r="N792" i="18" a="1"/>
  <c r="I792" i="18"/>
  <c r="N791" i="18" a="1"/>
  <c r="I791" i="18"/>
  <c r="N790" i="18" a="1"/>
  <c r="I790" i="18"/>
  <c r="N789" i="18" a="1"/>
  <c r="I789" i="18"/>
  <c r="N788" i="18" a="1"/>
  <c r="I788" i="18"/>
  <c r="N787" i="18" a="1"/>
  <c r="I787" i="18"/>
  <c r="N786" i="18" a="1"/>
  <c r="I786" i="18"/>
  <c r="N785" i="18" a="1"/>
  <c r="I785" i="18"/>
  <c r="N784" i="18" a="1"/>
  <c r="I784" i="18"/>
  <c r="N783" i="18" a="1"/>
  <c r="I783" i="18"/>
  <c r="N782" i="18" a="1"/>
  <c r="I782" i="18"/>
  <c r="N781" i="18" a="1"/>
  <c r="I781" i="18"/>
  <c r="N780" i="18" a="1"/>
  <c r="I780" i="18"/>
  <c r="N779" i="18" a="1"/>
  <c r="I779" i="18"/>
  <c r="N778" i="18" a="1"/>
  <c r="I778" i="18"/>
  <c r="N777" i="18" a="1"/>
  <c r="I777" i="18"/>
  <c r="N776" i="18" a="1"/>
  <c r="I776" i="18"/>
  <c r="N775" i="18" a="1"/>
  <c r="I775" i="18"/>
  <c r="N774" i="18" a="1"/>
  <c r="I774" i="18"/>
  <c r="N773" i="18" a="1"/>
  <c r="I773" i="18"/>
  <c r="N772" i="18" a="1"/>
  <c r="I772" i="18"/>
  <c r="N771" i="18" a="1"/>
  <c r="I771" i="18"/>
  <c r="N770" i="18" a="1"/>
  <c r="I770" i="18"/>
  <c r="N769" i="18" a="1"/>
  <c r="I769" i="18"/>
  <c r="N768" i="18" a="1"/>
  <c r="I768" i="18"/>
  <c r="N767" i="18" a="1"/>
  <c r="I767" i="18"/>
  <c r="N766" i="18" a="1"/>
  <c r="I766" i="18"/>
  <c r="N765" i="18" a="1"/>
  <c r="I765" i="18"/>
  <c r="N764" i="18" a="1"/>
  <c r="I764" i="18"/>
  <c r="N763" i="18" a="1"/>
  <c r="I763" i="18"/>
  <c r="N762" i="18" a="1"/>
  <c r="I762" i="18"/>
  <c r="N761" i="18" a="1"/>
  <c r="I761" i="18"/>
  <c r="N760" i="18" a="1"/>
  <c r="I760" i="18"/>
  <c r="N759" i="18" a="1"/>
  <c r="I759" i="18"/>
  <c r="N758" i="18" a="1"/>
  <c r="I758" i="18"/>
  <c r="N757" i="18" a="1"/>
  <c r="I757" i="18"/>
  <c r="N756" i="18" a="1"/>
  <c r="I756" i="18"/>
  <c r="N755" i="18" a="1"/>
  <c r="I755" i="18"/>
  <c r="N754" i="18" a="1"/>
  <c r="I754" i="18"/>
  <c r="N753" i="18" a="1"/>
  <c r="I753" i="18"/>
  <c r="N752" i="18" a="1"/>
  <c r="I752" i="18"/>
  <c r="N751" i="18" a="1"/>
  <c r="I751" i="18"/>
  <c r="N750" i="18" a="1"/>
  <c r="I750" i="18"/>
  <c r="N749" i="18" a="1"/>
  <c r="I749" i="18"/>
  <c r="N748" i="18" a="1"/>
  <c r="I748" i="18"/>
  <c r="N747" i="18" a="1"/>
  <c r="I747" i="18"/>
  <c r="N746" i="18" a="1"/>
  <c r="I746" i="18"/>
  <c r="N745" i="18" a="1"/>
  <c r="I745" i="18"/>
  <c r="N744" i="18" a="1"/>
  <c r="I744" i="18"/>
  <c r="N743" i="18" a="1"/>
  <c r="I743" i="18"/>
  <c r="N742" i="18" a="1"/>
  <c r="I742" i="18"/>
  <c r="N741" i="18" a="1"/>
  <c r="I741" i="18"/>
  <c r="N740" i="18" a="1"/>
  <c r="I740" i="18"/>
  <c r="N739" i="18" a="1"/>
  <c r="I739" i="18"/>
  <c r="N738" i="18" a="1"/>
  <c r="I738" i="18"/>
  <c r="N737" i="18" a="1"/>
  <c r="I737" i="18"/>
  <c r="N736" i="18" a="1"/>
  <c r="I736" i="18"/>
  <c r="N735" i="18" a="1"/>
  <c r="I735" i="18"/>
  <c r="N734" i="18" a="1"/>
  <c r="I734" i="18"/>
  <c r="N733" i="18" a="1"/>
  <c r="I733" i="18"/>
  <c r="N732" i="18" a="1"/>
  <c r="I732" i="18"/>
  <c r="N731" i="18" a="1"/>
  <c r="I731" i="18"/>
  <c r="N730" i="18" a="1"/>
  <c r="I730" i="18"/>
  <c r="N729" i="18" a="1"/>
  <c r="I729" i="18"/>
  <c r="N728" i="18" a="1"/>
  <c r="I728" i="18"/>
  <c r="N727" i="18" a="1"/>
  <c r="I727" i="18"/>
  <c r="N726" i="18" a="1"/>
  <c r="I726" i="18"/>
  <c r="N725" i="18" a="1"/>
  <c r="I725" i="18"/>
  <c r="N724" i="18" a="1"/>
  <c r="I724" i="18"/>
  <c r="N723" i="18" a="1"/>
  <c r="I723" i="18"/>
  <c r="N722" i="18" a="1"/>
  <c r="I722" i="18"/>
  <c r="N721" i="18" a="1"/>
  <c r="I721" i="18"/>
  <c r="N720" i="18" a="1"/>
  <c r="I720" i="18"/>
  <c r="N719" i="18" a="1"/>
  <c r="I719" i="18"/>
  <c r="N718" i="18" a="1"/>
  <c r="I718" i="18"/>
  <c r="N717" i="18" a="1"/>
  <c r="I717" i="18"/>
  <c r="N716" i="18" a="1"/>
  <c r="I716" i="18"/>
  <c r="N715" i="18" a="1"/>
  <c r="I715" i="18"/>
  <c r="N714" i="18" a="1"/>
  <c r="I714" i="18"/>
  <c r="N713" i="18" a="1"/>
  <c r="I713" i="18"/>
  <c r="N712" i="18" a="1"/>
  <c r="I712" i="18"/>
  <c r="N711" i="18" a="1"/>
  <c r="I711" i="18"/>
  <c r="N710" i="18" a="1"/>
  <c r="I710" i="18"/>
  <c r="N709" i="18" a="1"/>
  <c r="I709" i="18"/>
  <c r="N708" i="18" a="1"/>
  <c r="I708" i="18"/>
  <c r="N707" i="18" a="1"/>
  <c r="I707" i="18"/>
  <c r="N706" i="18" a="1"/>
  <c r="I706" i="18"/>
  <c r="N705" i="18" a="1"/>
  <c r="I705" i="18"/>
  <c r="N704" i="18" a="1"/>
  <c r="I704" i="18"/>
  <c r="N703" i="18" a="1"/>
  <c r="I703" i="18"/>
  <c r="N702" i="18" a="1"/>
  <c r="I702" i="18"/>
  <c r="N701" i="18" a="1"/>
  <c r="I701" i="18"/>
  <c r="N700" i="18" a="1"/>
  <c r="I700" i="18"/>
  <c r="N699" i="18" a="1"/>
  <c r="I699" i="18"/>
  <c r="N698" i="18" a="1"/>
  <c r="I698" i="18"/>
  <c r="N697" i="18" a="1"/>
  <c r="I697" i="18"/>
  <c r="N696" i="18" a="1"/>
  <c r="I696" i="18"/>
  <c r="N695" i="18" a="1"/>
  <c r="I695" i="18"/>
  <c r="N694" i="18" a="1"/>
  <c r="I694" i="18"/>
  <c r="N693" i="18" a="1"/>
  <c r="I693" i="18"/>
  <c r="N692" i="18" a="1"/>
  <c r="I692" i="18"/>
  <c r="N691" i="18" a="1"/>
  <c r="I691" i="18"/>
  <c r="N690" i="18" a="1"/>
  <c r="I690" i="18"/>
  <c r="N689" i="18" a="1"/>
  <c r="I689" i="18"/>
  <c r="N688" i="18" a="1"/>
  <c r="I688" i="18"/>
  <c r="N687" i="18" a="1"/>
  <c r="I687" i="18"/>
  <c r="N686" i="18" a="1"/>
  <c r="I686" i="18"/>
  <c r="N685" i="18" a="1"/>
  <c r="I685" i="18"/>
  <c r="N684" i="18" a="1"/>
  <c r="I684" i="18"/>
  <c r="N683" i="18" a="1"/>
  <c r="I683" i="18"/>
  <c r="N682" i="18" a="1"/>
  <c r="I682" i="18"/>
  <c r="N681" i="18" a="1"/>
  <c r="I681" i="18"/>
  <c r="N680" i="18" a="1"/>
  <c r="I680" i="18"/>
  <c r="N679" i="18" a="1"/>
  <c r="I679" i="18"/>
  <c r="N678" i="18" a="1"/>
  <c r="I678" i="18"/>
  <c r="N677" i="18" a="1"/>
  <c r="I677" i="18"/>
  <c r="N676" i="18" a="1"/>
  <c r="I676" i="18"/>
  <c r="N675" i="18" a="1"/>
  <c r="I675" i="18"/>
  <c r="N674" i="18" a="1"/>
  <c r="I674" i="18"/>
  <c r="N673" i="18" a="1"/>
  <c r="I673" i="18"/>
  <c r="N672" i="18" a="1"/>
  <c r="I672" i="18"/>
  <c r="N671" i="18" a="1"/>
  <c r="I671" i="18"/>
  <c r="N670" i="18" a="1"/>
  <c r="I670" i="18"/>
  <c r="N669" i="18" a="1"/>
  <c r="I669" i="18"/>
  <c r="N668" i="18" a="1"/>
  <c r="I668" i="18"/>
  <c r="N667" i="18" a="1"/>
  <c r="I667" i="18"/>
  <c r="N666" i="18" a="1"/>
  <c r="I666" i="18"/>
  <c r="N665" i="18" a="1"/>
  <c r="I665" i="18"/>
  <c r="N664" i="18" a="1"/>
  <c r="I664" i="18"/>
  <c r="N663" i="18" a="1"/>
  <c r="I663" i="18"/>
  <c r="N662" i="18" a="1"/>
  <c r="I662" i="18"/>
  <c r="N661" i="18" a="1"/>
  <c r="I661" i="18"/>
  <c r="N660" i="18" a="1"/>
  <c r="I660" i="18"/>
  <c r="N659" i="18" a="1"/>
  <c r="I659" i="18"/>
  <c r="N658" i="18" a="1"/>
  <c r="I658" i="18"/>
  <c r="N657" i="18" a="1"/>
  <c r="I657" i="18"/>
  <c r="N656" i="18" a="1"/>
  <c r="I656" i="18"/>
  <c r="N655" i="18" a="1"/>
  <c r="I655" i="18"/>
  <c r="N654" i="18" a="1"/>
  <c r="I654" i="18"/>
  <c r="N653" i="18" a="1"/>
  <c r="I653" i="18"/>
  <c r="N652" i="18" a="1"/>
  <c r="I652" i="18"/>
  <c r="N651" i="18" a="1"/>
  <c r="I651" i="18"/>
  <c r="N650" i="18" a="1"/>
  <c r="I650" i="18"/>
  <c r="N649" i="18" a="1"/>
  <c r="I649" i="18"/>
  <c r="N648" i="18" a="1"/>
  <c r="I648" i="18"/>
  <c r="N647" i="18" a="1"/>
  <c r="I647" i="18"/>
  <c r="N646" i="18" a="1"/>
  <c r="I646" i="18"/>
  <c r="N645" i="18" a="1"/>
  <c r="I645" i="18"/>
  <c r="N644" i="18" a="1"/>
  <c r="I644" i="18"/>
  <c r="N643" i="18" a="1"/>
  <c r="I643" i="18"/>
  <c r="N642" i="18" a="1"/>
  <c r="I642" i="18"/>
  <c r="N641" i="18" a="1"/>
  <c r="I641" i="18"/>
  <c r="N640" i="18" a="1"/>
  <c r="I640" i="18"/>
  <c r="N639" i="18" a="1"/>
  <c r="I639" i="18"/>
  <c r="N638" i="18" a="1"/>
  <c r="I638" i="18"/>
  <c r="N637" i="18" a="1"/>
  <c r="I637" i="18"/>
  <c r="N636" i="18" a="1"/>
  <c r="I636" i="18"/>
  <c r="N635" i="18" a="1"/>
  <c r="I635" i="18"/>
  <c r="N634" i="18" a="1"/>
  <c r="I634" i="18"/>
  <c r="N633" i="18" a="1"/>
  <c r="I633" i="18"/>
  <c r="N632" i="18" a="1"/>
  <c r="I632" i="18"/>
  <c r="N631" i="18" a="1"/>
  <c r="I631" i="18"/>
  <c r="N630" i="18" a="1"/>
  <c r="I630" i="18"/>
  <c r="N629" i="18" a="1"/>
  <c r="I629" i="18"/>
  <c r="N628" i="18" a="1"/>
  <c r="I628" i="18"/>
  <c r="N627" i="18" a="1"/>
  <c r="I627" i="18"/>
  <c r="N626" i="18" a="1"/>
  <c r="I626" i="18"/>
  <c r="N625" i="18" a="1"/>
  <c r="I625" i="18"/>
  <c r="N624" i="18" a="1"/>
  <c r="I624" i="18"/>
  <c r="N623" i="18" a="1"/>
  <c r="I623" i="18"/>
  <c r="N622" i="18" a="1"/>
  <c r="I622" i="18"/>
  <c r="N621" i="18" a="1"/>
  <c r="I621" i="18"/>
  <c r="N620" i="18" a="1"/>
  <c r="I620" i="18"/>
  <c r="N619" i="18" a="1"/>
  <c r="I619" i="18"/>
  <c r="N618" i="18" a="1"/>
  <c r="I618" i="18"/>
  <c r="N617" i="18" a="1"/>
  <c r="I617" i="18"/>
  <c r="N616" i="18" a="1"/>
  <c r="I616" i="18"/>
  <c r="N615" i="18" a="1"/>
  <c r="I615" i="18"/>
  <c r="N614" i="18" a="1"/>
  <c r="I614" i="18"/>
  <c r="N613" i="18" a="1"/>
  <c r="I613" i="18"/>
  <c r="N612" i="18" a="1"/>
  <c r="I612" i="18"/>
  <c r="N611" i="18" a="1"/>
  <c r="I611" i="18"/>
  <c r="N610" i="18" a="1"/>
  <c r="I610" i="18"/>
  <c r="N609" i="18" a="1"/>
  <c r="I609" i="18"/>
  <c r="N608" i="18" a="1"/>
  <c r="I608" i="18"/>
  <c r="N607" i="18" a="1"/>
  <c r="I607" i="18"/>
  <c r="N606" i="18" a="1"/>
  <c r="I606" i="18"/>
  <c r="N605" i="18" a="1"/>
  <c r="I605" i="18"/>
  <c r="N604" i="18" a="1"/>
  <c r="I604" i="18"/>
  <c r="N603" i="18" a="1"/>
  <c r="I603" i="18"/>
  <c r="N602" i="18" a="1"/>
  <c r="I602" i="18"/>
  <c r="N601" i="18" a="1"/>
  <c r="I601" i="18"/>
  <c r="N600" i="18" a="1"/>
  <c r="I600" i="18"/>
  <c r="N599" i="18" a="1"/>
  <c r="I599" i="18"/>
  <c r="N598" i="18" a="1"/>
  <c r="I598" i="18"/>
  <c r="N597" i="18" a="1"/>
  <c r="I597" i="18"/>
  <c r="N596" i="18" a="1"/>
  <c r="I596" i="18"/>
  <c r="N595" i="18" a="1"/>
  <c r="I595" i="18"/>
  <c r="N594" i="18" a="1"/>
  <c r="I594" i="18"/>
  <c r="N593" i="18" a="1"/>
  <c r="I593" i="18"/>
  <c r="N592" i="18" a="1"/>
  <c r="I592" i="18"/>
  <c r="N591" i="18" a="1"/>
  <c r="I591" i="18"/>
  <c r="N590" i="18" a="1"/>
  <c r="I590" i="18"/>
  <c r="N589" i="18" a="1"/>
  <c r="I589" i="18"/>
  <c r="N588" i="18" a="1"/>
  <c r="I588" i="18"/>
  <c r="N587" i="18" a="1"/>
  <c r="I587" i="18"/>
  <c r="N586" i="18" a="1"/>
  <c r="I586" i="18"/>
  <c r="N585" i="18" a="1"/>
  <c r="I585" i="18"/>
  <c r="N584" i="18" a="1"/>
  <c r="I584" i="18"/>
  <c r="N583" i="18" a="1"/>
  <c r="I583" i="18"/>
  <c r="N582" i="18" a="1"/>
  <c r="I582" i="18"/>
  <c r="N581" i="18" a="1"/>
  <c r="I581" i="18"/>
  <c r="N580" i="18" a="1"/>
  <c r="I580" i="18"/>
  <c r="N579" i="18" a="1"/>
  <c r="I579" i="18"/>
  <c r="N578" i="18" a="1"/>
  <c r="I578" i="18"/>
  <c r="N577" i="18" a="1"/>
  <c r="I577" i="18"/>
  <c r="N576" i="18" a="1"/>
  <c r="I576" i="18"/>
  <c r="N575" i="18" a="1"/>
  <c r="I575" i="18"/>
  <c r="N574" i="18" a="1"/>
  <c r="I574" i="18"/>
  <c r="N573" i="18" a="1"/>
  <c r="I573" i="18"/>
  <c r="N572" i="18" a="1"/>
  <c r="I572" i="18"/>
  <c r="N571" i="18" a="1"/>
  <c r="I571" i="18"/>
  <c r="N570" i="18" a="1"/>
  <c r="I570" i="18"/>
  <c r="N569" i="18" a="1"/>
  <c r="I569" i="18"/>
  <c r="N568" i="18" a="1"/>
  <c r="I568" i="18"/>
  <c r="N567" i="18" a="1"/>
  <c r="I567" i="18"/>
  <c r="N566" i="18" a="1"/>
  <c r="I566" i="18"/>
  <c r="N565" i="18" a="1"/>
  <c r="I565" i="18"/>
  <c r="N564" i="18" a="1"/>
  <c r="I564" i="18"/>
  <c r="N563" i="18" a="1"/>
  <c r="I563" i="18"/>
  <c r="N562" i="18" a="1"/>
  <c r="I562" i="18"/>
  <c r="N561" i="18" a="1"/>
  <c r="I561" i="18"/>
  <c r="N560" i="18" a="1"/>
  <c r="I560" i="18"/>
  <c r="N559" i="18" a="1"/>
  <c r="I559" i="18"/>
  <c r="N558" i="18" a="1"/>
  <c r="I558" i="18"/>
  <c r="N557" i="18" a="1"/>
  <c r="I557" i="18"/>
  <c r="N556" i="18" a="1"/>
  <c r="I556" i="18"/>
  <c r="N555" i="18" a="1"/>
  <c r="I555" i="18"/>
  <c r="N554" i="18" a="1"/>
  <c r="I554" i="18"/>
  <c r="N553" i="18" a="1"/>
  <c r="I553" i="18"/>
  <c r="N552" i="18" a="1"/>
  <c r="I552" i="18"/>
  <c r="N551" i="18" a="1"/>
  <c r="I551" i="18"/>
  <c r="N550" i="18" a="1"/>
  <c r="I550" i="18"/>
  <c r="N549" i="18" a="1"/>
  <c r="I549" i="18"/>
  <c r="N548" i="18" a="1"/>
  <c r="I548" i="18"/>
  <c r="N547" i="18" a="1"/>
  <c r="I547" i="18"/>
  <c r="N546" i="18" a="1"/>
  <c r="I546" i="18"/>
  <c r="N545" i="18" a="1"/>
  <c r="I545" i="18"/>
  <c r="N544" i="18" a="1"/>
  <c r="I544" i="18"/>
  <c r="N543" i="18" a="1"/>
  <c r="I543" i="18"/>
  <c r="N542" i="18" a="1"/>
  <c r="I542" i="18"/>
  <c r="N541" i="18" a="1"/>
  <c r="I541" i="18"/>
  <c r="N540" i="18" a="1"/>
  <c r="I540" i="18"/>
  <c r="N539" i="18" a="1"/>
  <c r="I539" i="18"/>
  <c r="N538" i="18" a="1"/>
  <c r="I538" i="18"/>
  <c r="N537" i="18" a="1"/>
  <c r="I537" i="18"/>
  <c r="N536" i="18" a="1"/>
  <c r="I536" i="18"/>
  <c r="N535" i="18" a="1"/>
  <c r="I535" i="18"/>
  <c r="N534" i="18" a="1"/>
  <c r="I534" i="18"/>
  <c r="N533" i="18" a="1"/>
  <c r="I533" i="18"/>
  <c r="N532" i="18" a="1"/>
  <c r="I532" i="18"/>
  <c r="N531" i="18" a="1"/>
  <c r="I531" i="18"/>
  <c r="N530" i="18" a="1"/>
  <c r="I530" i="18"/>
  <c r="N529" i="18" a="1"/>
  <c r="I529" i="18"/>
  <c r="N528" i="18" a="1"/>
  <c r="I528" i="18"/>
  <c r="N527" i="18" a="1"/>
  <c r="I527" i="18"/>
  <c r="N526" i="18" a="1"/>
  <c r="I526" i="18"/>
  <c r="N525" i="18" a="1"/>
  <c r="I525" i="18"/>
  <c r="N524" i="18" a="1"/>
  <c r="I524" i="18"/>
  <c r="N523" i="18" a="1"/>
  <c r="I523" i="18"/>
  <c r="N522" i="18" a="1"/>
  <c r="I522" i="18"/>
  <c r="N521" i="18" a="1"/>
  <c r="I521" i="18"/>
  <c r="N520" i="18" a="1"/>
  <c r="I520" i="18"/>
  <c r="N519" i="18" a="1"/>
  <c r="I519" i="18"/>
  <c r="N518" i="18" a="1"/>
  <c r="I518" i="18"/>
  <c r="N517" i="18" a="1"/>
  <c r="I517" i="18"/>
  <c r="N516" i="18" a="1"/>
  <c r="I516" i="18"/>
  <c r="G516" i="18"/>
  <c r="N515" i="18" a="1"/>
  <c r="I515" i="18"/>
  <c r="G515" i="18"/>
  <c r="N514" i="18" a="1"/>
  <c r="I514" i="18"/>
  <c r="G514" i="18"/>
  <c r="N513" i="18" a="1"/>
  <c r="I513" i="18"/>
  <c r="G513" i="18"/>
  <c r="N512" i="18" a="1"/>
  <c r="I512" i="18"/>
  <c r="G512" i="18"/>
  <c r="N511" i="18" a="1"/>
  <c r="I511" i="18"/>
  <c r="G511" i="18"/>
  <c r="N510" i="18" a="1"/>
  <c r="I510" i="18"/>
  <c r="G510" i="18"/>
  <c r="N509" i="18" a="1"/>
  <c r="I509" i="18"/>
  <c r="G509" i="18"/>
  <c r="N508" i="18" a="1"/>
  <c r="I508" i="18"/>
  <c r="G508" i="18"/>
  <c r="N507" i="18" a="1"/>
  <c r="I507" i="18"/>
  <c r="G507" i="18"/>
  <c r="N506" i="18" a="1"/>
  <c r="I506" i="18"/>
  <c r="G506" i="18"/>
  <c r="N505" i="18" a="1"/>
  <c r="I505" i="18"/>
  <c r="G505" i="18"/>
  <c r="N504" i="18" a="1"/>
  <c r="I504" i="18"/>
  <c r="G504" i="18"/>
  <c r="N503" i="18" a="1"/>
  <c r="I503" i="18"/>
  <c r="G503" i="18"/>
  <c r="N502" i="18" a="1"/>
  <c r="I502" i="18"/>
  <c r="G502" i="18"/>
  <c r="N501" i="18" a="1"/>
  <c r="I501" i="18"/>
  <c r="G501" i="18"/>
  <c r="N500" i="18" a="1"/>
  <c r="I500" i="18"/>
  <c r="G500" i="18"/>
  <c r="N499" i="18" a="1"/>
  <c r="I499" i="18"/>
  <c r="G499" i="18"/>
  <c r="N498" i="18" a="1"/>
  <c r="I498" i="18"/>
  <c r="G498" i="18"/>
  <c r="N497" i="18" a="1"/>
  <c r="I497" i="18"/>
  <c r="G497" i="18"/>
  <c r="N496" i="18" a="1"/>
  <c r="I496" i="18"/>
  <c r="G496" i="18"/>
  <c r="N495" i="18" a="1"/>
  <c r="I495" i="18"/>
  <c r="G495" i="18"/>
  <c r="N494" i="18" a="1"/>
  <c r="I494" i="18"/>
  <c r="G494" i="18"/>
  <c r="N493" i="18" a="1"/>
  <c r="I493" i="18"/>
  <c r="G493" i="18"/>
  <c r="N492" i="18" a="1"/>
  <c r="I492" i="18"/>
  <c r="G492" i="18"/>
  <c r="N491" i="18" a="1"/>
  <c r="I491" i="18"/>
  <c r="G491" i="18"/>
  <c r="N490" i="18" a="1"/>
  <c r="I490" i="18"/>
  <c r="G490" i="18"/>
  <c r="N489" i="18" a="1"/>
  <c r="I489" i="18"/>
  <c r="G489" i="18"/>
  <c r="N488" i="18" a="1"/>
  <c r="I488" i="18"/>
  <c r="G488" i="18"/>
  <c r="N487" i="18" a="1"/>
  <c r="I487" i="18"/>
  <c r="G487" i="18"/>
  <c r="N486" i="18" a="1"/>
  <c r="I486" i="18"/>
  <c r="G486" i="18"/>
  <c r="N485" i="18" a="1"/>
  <c r="I485" i="18"/>
  <c r="G485" i="18"/>
  <c r="N484" i="18" a="1"/>
  <c r="I484" i="18"/>
  <c r="G484" i="18"/>
  <c r="N483" i="18" a="1"/>
  <c r="I483" i="18"/>
  <c r="G483" i="18"/>
  <c r="N482" i="18" a="1"/>
  <c r="I482" i="18"/>
  <c r="G482" i="18"/>
  <c r="N481" i="18" a="1"/>
  <c r="I481" i="18"/>
  <c r="G481" i="18"/>
  <c r="N480" i="18" a="1"/>
  <c r="I480" i="18"/>
  <c r="G480" i="18"/>
  <c r="N479" i="18" a="1"/>
  <c r="I479" i="18"/>
  <c r="G479" i="18"/>
  <c r="N478" i="18" a="1"/>
  <c r="I478" i="18"/>
  <c r="G478" i="18"/>
  <c r="N477" i="18" a="1"/>
  <c r="I477" i="18"/>
  <c r="G477" i="18"/>
  <c r="N476" i="18" a="1"/>
  <c r="I476" i="18"/>
  <c r="G476" i="18"/>
  <c r="N475" i="18" a="1"/>
  <c r="I475" i="18"/>
  <c r="G475" i="18"/>
  <c r="N474" i="18" a="1"/>
  <c r="I474" i="18"/>
  <c r="G474" i="18"/>
  <c r="N473" i="18" a="1"/>
  <c r="I473" i="18"/>
  <c r="G473" i="18"/>
  <c r="N472" i="18" a="1"/>
  <c r="I472" i="18"/>
  <c r="G472" i="18"/>
  <c r="N471" i="18" a="1"/>
  <c r="I471" i="18"/>
  <c r="G471" i="18"/>
  <c r="N470" i="18" a="1"/>
  <c r="I470" i="18"/>
  <c r="G470" i="18"/>
  <c r="N469" i="18" a="1"/>
  <c r="I469" i="18"/>
  <c r="G469" i="18"/>
  <c r="N468" i="18" a="1"/>
  <c r="I468" i="18"/>
  <c r="G468" i="18"/>
  <c r="N467" i="18" a="1"/>
  <c r="I467" i="18"/>
  <c r="G467" i="18"/>
  <c r="N466" i="18" a="1"/>
  <c r="I466" i="18"/>
  <c r="G466" i="18"/>
  <c r="N465" i="18" a="1"/>
  <c r="I465" i="18"/>
  <c r="G465" i="18"/>
  <c r="N464" i="18" a="1"/>
  <c r="I464" i="18"/>
  <c r="G464" i="18"/>
  <c r="N463" i="18" a="1"/>
  <c r="I463" i="18"/>
  <c r="G463" i="18"/>
  <c r="N462" i="18" a="1"/>
  <c r="I462" i="18"/>
  <c r="G462" i="18"/>
  <c r="N461" i="18" a="1"/>
  <c r="I461" i="18"/>
  <c r="G461" i="18"/>
  <c r="N460" i="18" a="1"/>
  <c r="I460" i="18"/>
  <c r="G460" i="18"/>
  <c r="N459" i="18" a="1"/>
  <c r="I459" i="18"/>
  <c r="G459" i="18"/>
  <c r="N458" i="18" a="1"/>
  <c r="I458" i="18"/>
  <c r="G458" i="18"/>
  <c r="N457" i="18" a="1"/>
  <c r="I457" i="18"/>
  <c r="G457" i="18"/>
  <c r="N456" i="18" a="1"/>
  <c r="I456" i="18"/>
  <c r="G456" i="18"/>
  <c r="N455" i="18" a="1"/>
  <c r="I455" i="18"/>
  <c r="G455" i="18"/>
  <c r="N454" i="18" a="1"/>
  <c r="I454" i="18"/>
  <c r="G454" i="18"/>
  <c r="N453" i="18" a="1"/>
  <c r="I453" i="18"/>
  <c r="G453" i="18"/>
  <c r="N452" i="18" a="1"/>
  <c r="I452" i="18"/>
  <c r="G452" i="18"/>
  <c r="N451" i="18" a="1"/>
  <c r="I451" i="18"/>
  <c r="N450" i="18" a="1"/>
  <c r="I450" i="18"/>
  <c r="N449" i="18" a="1"/>
  <c r="I449" i="18"/>
  <c r="N448" i="18" a="1"/>
  <c r="I448" i="18"/>
  <c r="N447" i="18" a="1"/>
  <c r="I447" i="18"/>
  <c r="N446" i="18" a="1"/>
  <c r="I446" i="18"/>
  <c r="N445" i="18" a="1"/>
  <c r="I445" i="18"/>
  <c r="N444" i="18" a="1"/>
  <c r="I444" i="18"/>
  <c r="N443" i="18" a="1"/>
  <c r="I443" i="18"/>
  <c r="N442" i="18" a="1"/>
  <c r="I442" i="18"/>
  <c r="N441" i="18" a="1"/>
  <c r="I441" i="18"/>
  <c r="N440" i="18" a="1"/>
  <c r="I440" i="18"/>
  <c r="N439" i="18" a="1"/>
  <c r="I439" i="18"/>
  <c r="N438" i="18" a="1"/>
  <c r="I438" i="18"/>
  <c r="N437" i="18" a="1"/>
  <c r="I437" i="18"/>
  <c r="N436" i="18" a="1"/>
  <c r="I436" i="18"/>
  <c r="N435" i="18" a="1"/>
  <c r="I435" i="18"/>
  <c r="N434" i="18" a="1"/>
  <c r="I434" i="18"/>
  <c r="N433" i="18" a="1"/>
  <c r="I433" i="18"/>
  <c r="N432" i="18" a="1"/>
  <c r="I432" i="18"/>
  <c r="N431" i="18" a="1"/>
  <c r="I431" i="18"/>
  <c r="N430" i="18" a="1"/>
  <c r="I430" i="18"/>
  <c r="N429" i="18" a="1"/>
  <c r="I429" i="18"/>
  <c r="N428" i="18" a="1"/>
  <c r="I428" i="18"/>
  <c r="N427" i="18" a="1"/>
  <c r="I427" i="18"/>
  <c r="N426" i="18" a="1"/>
  <c r="I426" i="18"/>
  <c r="N425" i="18" a="1"/>
  <c r="I425" i="18"/>
  <c r="N424" i="18" a="1"/>
  <c r="I424" i="18"/>
  <c r="N423" i="18" a="1"/>
  <c r="I423" i="18"/>
  <c r="N422" i="18" a="1"/>
  <c r="I422" i="18"/>
  <c r="N421" i="18" a="1"/>
  <c r="I421" i="18"/>
  <c r="N420" i="18" a="1"/>
  <c r="I420" i="18"/>
  <c r="N419" i="18" a="1"/>
  <c r="I419" i="18"/>
  <c r="N418" i="18" a="1"/>
  <c r="I418" i="18"/>
  <c r="N417" i="18" a="1"/>
  <c r="I417" i="18"/>
  <c r="N416" i="18" a="1"/>
  <c r="I416" i="18"/>
  <c r="N415" i="18" a="1"/>
  <c r="I415" i="18"/>
  <c r="N414" i="18" a="1"/>
  <c r="I414" i="18"/>
  <c r="N413" i="18" a="1"/>
  <c r="I413" i="18"/>
  <c r="N412" i="18" a="1"/>
  <c r="I412" i="18"/>
  <c r="N411" i="18" a="1"/>
  <c r="I411" i="18"/>
  <c r="N410" i="18" a="1"/>
  <c r="I410" i="18"/>
  <c r="N409" i="18" a="1"/>
  <c r="I409" i="18"/>
  <c r="N408" i="18" a="1"/>
  <c r="I408" i="18"/>
  <c r="N407" i="18" a="1"/>
  <c r="I407" i="18"/>
  <c r="N406" i="18" a="1"/>
  <c r="I406" i="18"/>
  <c r="N405" i="18" a="1"/>
  <c r="I405" i="18"/>
  <c r="N404" i="18" a="1"/>
  <c r="I404" i="18"/>
  <c r="N403" i="18" a="1"/>
  <c r="I403" i="18"/>
  <c r="N402" i="18" a="1"/>
  <c r="I402" i="18"/>
  <c r="N401" i="18" a="1"/>
  <c r="I401" i="18"/>
  <c r="N400" i="18" a="1"/>
  <c r="I400" i="18"/>
  <c r="N399" i="18" a="1"/>
  <c r="I399" i="18"/>
  <c r="N398" i="18" a="1"/>
  <c r="I398" i="18"/>
  <c r="N397" i="18" a="1"/>
  <c r="I397" i="18"/>
  <c r="N396" i="18" a="1"/>
  <c r="I396" i="18"/>
  <c r="N395" i="18" a="1"/>
  <c r="I395" i="18"/>
  <c r="N394" i="18" a="1"/>
  <c r="I394" i="18"/>
  <c r="N393" i="18" a="1"/>
  <c r="I393" i="18"/>
  <c r="N392" i="18" a="1"/>
  <c r="I392" i="18"/>
  <c r="N391" i="18" a="1"/>
  <c r="I391" i="18"/>
  <c r="N390" i="18" a="1"/>
  <c r="I390" i="18"/>
  <c r="N389" i="18" a="1"/>
  <c r="I389" i="18"/>
  <c r="N388" i="18" a="1"/>
  <c r="I388" i="18"/>
  <c r="N387" i="18" a="1"/>
  <c r="I387" i="18"/>
  <c r="N386" i="18" a="1"/>
  <c r="I386" i="18"/>
  <c r="N385" i="18" a="1"/>
  <c r="I385" i="18"/>
  <c r="N384" i="18" a="1"/>
  <c r="I384" i="18"/>
  <c r="N383" i="18" a="1"/>
  <c r="I383" i="18"/>
  <c r="N382" i="18" a="1"/>
  <c r="I382" i="18"/>
  <c r="N381" i="18" a="1"/>
  <c r="I381" i="18"/>
  <c r="N380" i="18" a="1"/>
  <c r="I380" i="18"/>
  <c r="N379" i="18" a="1"/>
  <c r="I379" i="18"/>
  <c r="N378" i="18" a="1"/>
  <c r="I378" i="18"/>
  <c r="N377" i="18" a="1"/>
  <c r="I377" i="18"/>
  <c r="N376" i="18" a="1"/>
  <c r="I376" i="18"/>
  <c r="N375" i="18" a="1"/>
  <c r="I375" i="18"/>
  <c r="N374" i="18" a="1"/>
  <c r="I374" i="18"/>
  <c r="N373" i="18" a="1"/>
  <c r="I373" i="18"/>
  <c r="N372" i="18" a="1"/>
  <c r="I372" i="18"/>
  <c r="N371" i="18" a="1"/>
  <c r="I371" i="18"/>
  <c r="N370" i="18" a="1"/>
  <c r="I370" i="18"/>
  <c r="N369" i="18" a="1"/>
  <c r="I369" i="18"/>
  <c r="N368" i="18" a="1"/>
  <c r="I368" i="18"/>
  <c r="N367" i="18" a="1"/>
  <c r="I367" i="18"/>
  <c r="N366" i="18" a="1"/>
  <c r="I366" i="18"/>
  <c r="N365" i="18" a="1"/>
  <c r="I365" i="18"/>
  <c r="N364" i="18" a="1"/>
  <c r="I364" i="18"/>
  <c r="N363" i="18" a="1"/>
  <c r="I363" i="18"/>
  <c r="N362" i="18" a="1"/>
  <c r="I362" i="18"/>
  <c r="N361" i="18" a="1"/>
  <c r="I361" i="18"/>
  <c r="N360" i="18" a="1"/>
  <c r="I360" i="18"/>
  <c r="N359" i="18" a="1"/>
  <c r="I359" i="18"/>
  <c r="N358" i="18" a="1"/>
  <c r="I358" i="18"/>
  <c r="N357" i="18" a="1"/>
  <c r="I357" i="18"/>
  <c r="N356" i="18" a="1"/>
  <c r="I356" i="18"/>
  <c r="N355" i="18" a="1"/>
  <c r="I355" i="18"/>
  <c r="N354" i="18" a="1"/>
  <c r="I354" i="18"/>
  <c r="N353" i="18" a="1"/>
  <c r="I353" i="18"/>
  <c r="N352" i="18" a="1"/>
  <c r="I352" i="18"/>
  <c r="N351" i="18" a="1"/>
  <c r="I351" i="18"/>
  <c r="N350" i="18" a="1"/>
  <c r="I350" i="18"/>
  <c r="N349" i="18" a="1"/>
  <c r="I349" i="18"/>
  <c r="N348" i="18" a="1"/>
  <c r="I348" i="18"/>
  <c r="N347" i="18" a="1"/>
  <c r="I347" i="18"/>
  <c r="N346" i="18" a="1"/>
  <c r="I346" i="18"/>
  <c r="N345" i="18" a="1"/>
  <c r="I345" i="18"/>
  <c r="N344" i="18" a="1"/>
  <c r="I344" i="18"/>
  <c r="N343" i="18" a="1"/>
  <c r="I343" i="18"/>
  <c r="N342" i="18" a="1"/>
  <c r="I342" i="18"/>
  <c r="N341" i="18" a="1"/>
  <c r="I341" i="18"/>
  <c r="N340" i="18" a="1"/>
  <c r="I340" i="18"/>
  <c r="N339" i="18" a="1"/>
  <c r="I339" i="18"/>
  <c r="N338" i="18" a="1"/>
  <c r="I338" i="18"/>
  <c r="N337" i="18" a="1"/>
  <c r="I337" i="18"/>
  <c r="N336" i="18" a="1"/>
  <c r="I336" i="18"/>
  <c r="N335" i="18" a="1"/>
  <c r="I335" i="18"/>
  <c r="N334" i="18" a="1"/>
  <c r="I334" i="18"/>
  <c r="N333" i="18" a="1"/>
  <c r="I333" i="18"/>
  <c r="N332" i="18" a="1"/>
  <c r="I332" i="18"/>
  <c r="N331" i="18" a="1"/>
  <c r="I331" i="18"/>
  <c r="N330" i="18" a="1"/>
  <c r="I330" i="18"/>
  <c r="N329" i="18" a="1"/>
  <c r="I329" i="18"/>
  <c r="N328" i="18" a="1"/>
  <c r="I328" i="18"/>
  <c r="N327" i="18" a="1"/>
  <c r="I327" i="18"/>
  <c r="N326" i="18" a="1"/>
  <c r="I326" i="18"/>
  <c r="N325" i="18" a="1"/>
  <c r="I325" i="18"/>
  <c r="N324" i="18" a="1"/>
  <c r="I324" i="18"/>
  <c r="N323" i="18" a="1"/>
  <c r="I323" i="18"/>
  <c r="N322" i="18" a="1"/>
  <c r="I322" i="18"/>
  <c r="N321" i="18" a="1"/>
  <c r="I321" i="18"/>
  <c r="N320" i="18" a="1"/>
  <c r="I320" i="18"/>
  <c r="N319" i="18" a="1"/>
  <c r="I319" i="18"/>
  <c r="N318" i="18" a="1"/>
  <c r="I318" i="18"/>
  <c r="N317" i="18" a="1"/>
  <c r="I317" i="18"/>
  <c r="N316" i="18" a="1"/>
  <c r="I316" i="18"/>
  <c r="N315" i="18" a="1"/>
  <c r="I315" i="18"/>
  <c r="N314" i="18" a="1"/>
  <c r="I314" i="18"/>
  <c r="N313" i="18" a="1"/>
  <c r="I313" i="18"/>
  <c r="N312" i="18" a="1"/>
  <c r="I312" i="18"/>
  <c r="N311" i="18" a="1"/>
  <c r="I311" i="18"/>
  <c r="N310" i="18" a="1"/>
  <c r="I310" i="18"/>
  <c r="N309" i="18" a="1"/>
  <c r="I309" i="18"/>
  <c r="N308" i="18" a="1"/>
  <c r="I308" i="18"/>
  <c r="N307" i="18" a="1"/>
  <c r="I307" i="18"/>
  <c r="N306" i="18" a="1"/>
  <c r="I306" i="18"/>
  <c r="N305" i="18" a="1"/>
  <c r="I305" i="18"/>
  <c r="N304" i="18" a="1"/>
  <c r="I304" i="18"/>
  <c r="N303" i="18" a="1"/>
  <c r="I303" i="18"/>
  <c r="N302" i="18" a="1"/>
  <c r="I302" i="18"/>
  <c r="N301" i="18" a="1"/>
  <c r="I301" i="18"/>
  <c r="N300" i="18" a="1"/>
  <c r="I300" i="18"/>
  <c r="N299" i="18" a="1"/>
  <c r="I299" i="18"/>
  <c r="N298" i="18" a="1"/>
  <c r="I298" i="18"/>
  <c r="N297" i="18" a="1"/>
  <c r="I297" i="18"/>
  <c r="N296" i="18" a="1"/>
  <c r="I296" i="18"/>
  <c r="N295" i="18" a="1"/>
  <c r="I295" i="18"/>
  <c r="N294" i="18" a="1"/>
  <c r="I294" i="18"/>
  <c r="N293" i="18" a="1"/>
  <c r="I293" i="18"/>
  <c r="N292" i="18" a="1"/>
  <c r="I292" i="18"/>
  <c r="N291" i="18" a="1"/>
  <c r="I291" i="18"/>
  <c r="N290" i="18" a="1"/>
  <c r="I290" i="18"/>
  <c r="N289" i="18" a="1"/>
  <c r="I289" i="18"/>
  <c r="N288" i="18" a="1"/>
  <c r="I288" i="18"/>
  <c r="N287" i="18" a="1"/>
  <c r="I287" i="18"/>
  <c r="N286" i="18" a="1"/>
  <c r="I286" i="18"/>
  <c r="N285" i="18" a="1"/>
  <c r="I285" i="18"/>
  <c r="N284" i="18" a="1"/>
  <c r="I284" i="18"/>
  <c r="N283" i="18" a="1"/>
  <c r="I283" i="18"/>
  <c r="N282" i="18" a="1"/>
  <c r="I282" i="18"/>
  <c r="N281" i="18" a="1"/>
  <c r="I281" i="18"/>
  <c r="N280" i="18" a="1"/>
  <c r="I280" i="18"/>
  <c r="N279" i="18" a="1"/>
  <c r="I279" i="18"/>
  <c r="N278" i="18" a="1"/>
  <c r="I278" i="18"/>
  <c r="N277" i="18" a="1"/>
  <c r="I277" i="18"/>
  <c r="N276" i="18" a="1"/>
  <c r="I276" i="18"/>
  <c r="N275" i="18" a="1"/>
  <c r="I275" i="18"/>
  <c r="N274" i="18" a="1"/>
  <c r="I274" i="18"/>
  <c r="N273" i="18" a="1"/>
  <c r="I273" i="18"/>
  <c r="N272" i="18" a="1"/>
  <c r="I272" i="18"/>
  <c r="N271" i="18" a="1"/>
  <c r="I271" i="18"/>
  <c r="N270" i="18" a="1"/>
  <c r="I270" i="18"/>
  <c r="N269" i="18" a="1"/>
  <c r="I269" i="18"/>
  <c r="N268" i="18" a="1"/>
  <c r="I268" i="18"/>
  <c r="N267" i="18" a="1"/>
  <c r="I267" i="18"/>
  <c r="N266" i="18" a="1"/>
  <c r="I266" i="18"/>
  <c r="N265" i="18" a="1"/>
  <c r="I265" i="18"/>
  <c r="N264" i="18" a="1"/>
  <c r="I264" i="18"/>
  <c r="N263" i="18" a="1"/>
  <c r="I263" i="18"/>
  <c r="N262" i="18" a="1"/>
  <c r="I262" i="18"/>
  <c r="N261" i="18" a="1"/>
  <c r="I261" i="18"/>
  <c r="N260" i="18" a="1"/>
  <c r="I260" i="18"/>
  <c r="N259" i="18" a="1"/>
  <c r="I259" i="18"/>
  <c r="N258" i="18" a="1"/>
  <c r="I258" i="18"/>
  <c r="N257" i="18" a="1"/>
  <c r="I257" i="18"/>
  <c r="N256" i="18" a="1"/>
  <c r="I256" i="18"/>
  <c r="N255" i="18" a="1"/>
  <c r="I255" i="18"/>
  <c r="N254" i="18" a="1"/>
  <c r="I254" i="18"/>
  <c r="G254" i="18"/>
  <c r="N253" i="18" a="1"/>
  <c r="I253" i="18"/>
  <c r="G253" i="18"/>
  <c r="N252" i="18" a="1"/>
  <c r="I252" i="18"/>
  <c r="G252" i="18"/>
  <c r="N251" i="18" a="1"/>
  <c r="I251" i="18"/>
  <c r="G251" i="18"/>
  <c r="N250" i="18" a="1"/>
  <c r="I250" i="18"/>
  <c r="G250" i="18"/>
  <c r="N249" i="18" a="1"/>
  <c r="I249" i="18"/>
  <c r="G249" i="18"/>
  <c r="N248" i="18" a="1"/>
  <c r="I248" i="18"/>
  <c r="G248" i="18"/>
  <c r="N247" i="18" a="1"/>
  <c r="I247" i="18"/>
  <c r="G247" i="18"/>
  <c r="N246" i="18" a="1"/>
  <c r="I246" i="18"/>
  <c r="G246" i="18"/>
  <c r="N245" i="18" a="1"/>
  <c r="I245" i="18"/>
  <c r="G245" i="18"/>
  <c r="N244" i="18" a="1"/>
  <c r="I244" i="18"/>
  <c r="G244" i="18"/>
  <c r="N243" i="18" a="1"/>
  <c r="I243" i="18"/>
  <c r="G243" i="18"/>
  <c r="N242" i="18" a="1"/>
  <c r="I242" i="18"/>
  <c r="G242" i="18"/>
  <c r="N241" i="18" a="1"/>
  <c r="I241" i="18"/>
  <c r="G241" i="18"/>
  <c r="N240" i="18" a="1"/>
  <c r="I240" i="18"/>
  <c r="G240" i="18"/>
  <c r="N239" i="18" a="1"/>
  <c r="I239" i="18"/>
  <c r="G239" i="18"/>
  <c r="N238" i="18" a="1"/>
  <c r="I238" i="18"/>
  <c r="G238" i="18"/>
  <c r="N237" i="18" a="1"/>
  <c r="I237" i="18"/>
  <c r="G237" i="18"/>
  <c r="N236" i="18" a="1"/>
  <c r="I236" i="18"/>
  <c r="G236" i="18"/>
  <c r="N235" i="18" a="1"/>
  <c r="I235" i="18"/>
  <c r="G235" i="18"/>
  <c r="N234" i="18" a="1"/>
  <c r="I234" i="18"/>
  <c r="G234" i="18"/>
  <c r="N233" i="18" a="1"/>
  <c r="I233" i="18"/>
  <c r="G233" i="18"/>
  <c r="N232" i="18" a="1"/>
  <c r="I232" i="18"/>
  <c r="G232" i="18"/>
  <c r="N231" i="18" a="1"/>
  <c r="I231" i="18"/>
  <c r="G231" i="18"/>
  <c r="N230" i="18" a="1"/>
  <c r="I230" i="18"/>
  <c r="G230" i="18"/>
  <c r="N229" i="18" a="1"/>
  <c r="I229" i="18"/>
  <c r="G229" i="18"/>
  <c r="N228" i="18" a="1"/>
  <c r="I228" i="18"/>
  <c r="G228" i="18"/>
  <c r="N227" i="18" a="1"/>
  <c r="I227" i="18"/>
  <c r="G227" i="18"/>
  <c r="N226" i="18" a="1"/>
  <c r="I226" i="18"/>
  <c r="G226" i="18"/>
  <c r="N225" i="18" a="1"/>
  <c r="I225" i="18"/>
  <c r="G225" i="18"/>
  <c r="N224" i="18" a="1"/>
  <c r="I224" i="18"/>
  <c r="G224" i="18"/>
  <c r="N223" i="18" a="1"/>
  <c r="I223" i="18"/>
  <c r="G223" i="18"/>
  <c r="N222" i="18" a="1"/>
  <c r="I222" i="18"/>
  <c r="G222" i="18"/>
  <c r="N221" i="18" a="1"/>
  <c r="I221" i="18"/>
  <c r="G221" i="18"/>
  <c r="N220" i="18" a="1"/>
  <c r="I220" i="18"/>
  <c r="G220" i="18"/>
  <c r="N219" i="18" a="1"/>
  <c r="I219" i="18"/>
  <c r="G219" i="18"/>
  <c r="N218" i="18" a="1"/>
  <c r="I218" i="18"/>
  <c r="G218" i="18"/>
  <c r="N217" i="18" a="1"/>
  <c r="I217" i="18"/>
  <c r="G217" i="18"/>
  <c r="N216" i="18" a="1"/>
  <c r="I216" i="18"/>
  <c r="G216" i="18"/>
  <c r="N215" i="18" a="1"/>
  <c r="I215" i="18"/>
  <c r="G215" i="18"/>
  <c r="N214" i="18" a="1"/>
  <c r="I214" i="18"/>
  <c r="G214" i="18"/>
  <c r="N213" i="18" a="1"/>
  <c r="I213" i="18"/>
  <c r="G213" i="18"/>
  <c r="N212" i="18" a="1"/>
  <c r="I212" i="18"/>
  <c r="G212" i="18"/>
  <c r="N211" i="18" a="1"/>
  <c r="I211" i="18"/>
  <c r="G211" i="18"/>
  <c r="N210" i="18" a="1"/>
  <c r="I210" i="18"/>
  <c r="G210" i="18"/>
  <c r="N209" i="18" a="1"/>
  <c r="I209" i="18"/>
  <c r="G209" i="18"/>
  <c r="N208" i="18" a="1"/>
  <c r="I208" i="18"/>
  <c r="G208" i="18"/>
  <c r="N207" i="18" a="1"/>
  <c r="I207" i="18"/>
  <c r="G207" i="18"/>
  <c r="N206" i="18" a="1"/>
  <c r="I206" i="18"/>
  <c r="G206" i="18"/>
  <c r="N205" i="18" a="1"/>
  <c r="I205" i="18"/>
  <c r="G205" i="18"/>
  <c r="N204" i="18" a="1"/>
  <c r="I204" i="18"/>
  <c r="G204" i="18"/>
  <c r="N203" i="18" a="1"/>
  <c r="I203" i="18"/>
  <c r="G203" i="18"/>
  <c r="N202" i="18" a="1"/>
  <c r="I202" i="18"/>
  <c r="G202" i="18"/>
  <c r="N201" i="18" a="1"/>
  <c r="I201" i="18"/>
  <c r="G201" i="18"/>
  <c r="N200" i="18" a="1"/>
  <c r="I200" i="18"/>
  <c r="G200" i="18"/>
  <c r="N199" i="18" a="1"/>
  <c r="I199" i="18"/>
  <c r="G199" i="18"/>
  <c r="N198" i="18" a="1"/>
  <c r="I198" i="18"/>
  <c r="G198" i="18"/>
  <c r="N197" i="18" a="1"/>
  <c r="I197" i="18"/>
  <c r="G197" i="18"/>
  <c r="N196" i="18" a="1"/>
  <c r="I196" i="18"/>
  <c r="G196" i="18"/>
  <c r="N195" i="18" a="1"/>
  <c r="I195" i="18"/>
  <c r="G195" i="18"/>
  <c r="N194" i="18" a="1"/>
  <c r="I194" i="18"/>
  <c r="G194" i="18"/>
  <c r="N193" i="18" a="1"/>
  <c r="I193" i="18"/>
  <c r="G193" i="18"/>
  <c r="N192" i="18" a="1"/>
  <c r="I192" i="18"/>
  <c r="G192" i="18"/>
  <c r="N191" i="18" a="1"/>
  <c r="I191" i="18"/>
  <c r="G191" i="18"/>
  <c r="N190" i="18" a="1"/>
  <c r="I190" i="18"/>
  <c r="G190" i="18"/>
  <c r="N189" i="18" a="1"/>
  <c r="I189" i="18"/>
  <c r="G189" i="18"/>
  <c r="N188" i="18" a="1"/>
  <c r="I188" i="18"/>
  <c r="G188" i="18"/>
  <c r="N187" i="18" a="1"/>
  <c r="I187" i="18"/>
  <c r="G187" i="18"/>
  <c r="N186" i="18" a="1"/>
  <c r="I186" i="18"/>
  <c r="G186" i="18"/>
  <c r="N185" i="18" a="1"/>
  <c r="I185" i="18"/>
  <c r="G185" i="18"/>
  <c r="N184" i="18" a="1"/>
  <c r="I184" i="18"/>
  <c r="G184" i="18"/>
  <c r="N183" i="18" a="1"/>
  <c r="I183" i="18"/>
  <c r="G183" i="18"/>
  <c r="N182" i="18" a="1"/>
  <c r="I182" i="18"/>
  <c r="G182" i="18"/>
  <c r="N181" i="18" a="1"/>
  <c r="I181" i="18"/>
  <c r="G181" i="18"/>
  <c r="N180" i="18" a="1"/>
  <c r="I180" i="18"/>
  <c r="G180" i="18"/>
  <c r="N179" i="18" a="1"/>
  <c r="I179" i="18"/>
  <c r="G179" i="18"/>
  <c r="N178" i="18" a="1"/>
  <c r="I178" i="18"/>
  <c r="G178" i="18"/>
  <c r="N177" i="18" a="1"/>
  <c r="I177" i="18"/>
  <c r="G177" i="18"/>
  <c r="N176" i="18" a="1"/>
  <c r="I176" i="18"/>
  <c r="G176" i="18"/>
  <c r="N175" i="18" a="1"/>
  <c r="I175" i="18"/>
  <c r="G175" i="18"/>
  <c r="N174" i="18" a="1"/>
  <c r="I174" i="18"/>
  <c r="G174" i="18"/>
  <c r="N173" i="18" a="1"/>
  <c r="I173" i="18"/>
  <c r="G173" i="18"/>
  <c r="N172" i="18" a="1"/>
  <c r="I172" i="18"/>
  <c r="G172" i="18"/>
  <c r="N171" i="18" a="1"/>
  <c r="I171" i="18"/>
  <c r="G171" i="18"/>
  <c r="N170" i="18" a="1"/>
  <c r="I170" i="18"/>
  <c r="G170" i="18"/>
  <c r="N169" i="18" a="1"/>
  <c r="I169" i="18"/>
  <c r="G169" i="18"/>
  <c r="N168" i="18" a="1"/>
  <c r="I168" i="18"/>
  <c r="G168" i="18"/>
  <c r="N167" i="18" a="1"/>
  <c r="I167" i="18"/>
  <c r="G167" i="18"/>
  <c r="N166" i="18" a="1"/>
  <c r="I166" i="18"/>
  <c r="G166" i="18"/>
  <c r="N165" i="18" a="1"/>
  <c r="I165" i="18"/>
  <c r="G165" i="18"/>
  <c r="N164" i="18" a="1"/>
  <c r="I164" i="18"/>
  <c r="G164" i="18"/>
  <c r="N163" i="18" a="1"/>
  <c r="I163" i="18"/>
  <c r="G163" i="18"/>
  <c r="N162" i="18" a="1"/>
  <c r="I162" i="18"/>
  <c r="G162" i="18"/>
  <c r="N161" i="18" a="1"/>
  <c r="I161" i="18"/>
  <c r="G161" i="18"/>
  <c r="N160" i="18" a="1"/>
  <c r="I160" i="18"/>
  <c r="G160" i="18"/>
  <c r="N159" i="18" a="1"/>
  <c r="I159" i="18"/>
  <c r="G159" i="18"/>
  <c r="N158" i="18" a="1"/>
  <c r="I158" i="18"/>
  <c r="G158" i="18"/>
  <c r="N157" i="18" a="1"/>
  <c r="I157" i="18"/>
  <c r="G157" i="18"/>
  <c r="N156" i="18" a="1"/>
  <c r="I156" i="18"/>
  <c r="G156" i="18"/>
  <c r="N155" i="18" a="1"/>
  <c r="I155" i="18"/>
  <c r="G155" i="18"/>
  <c r="N154" i="18" a="1"/>
  <c r="I154" i="18"/>
  <c r="G154" i="18"/>
  <c r="N153" i="18" a="1"/>
  <c r="I153" i="18"/>
  <c r="G153" i="18"/>
  <c r="N152" i="18" a="1"/>
  <c r="I152" i="18"/>
  <c r="G152" i="18"/>
  <c r="N151" i="18" a="1"/>
  <c r="I151" i="18"/>
  <c r="G151" i="18"/>
  <c r="N150" i="18" a="1"/>
  <c r="I150" i="18"/>
  <c r="G150" i="18"/>
  <c r="N149" i="18" a="1"/>
  <c r="I149" i="18"/>
  <c r="G149" i="18"/>
  <c r="N148" i="18" a="1"/>
  <c r="I148" i="18"/>
  <c r="G148" i="18"/>
  <c r="N147" i="18" a="1"/>
  <c r="I147" i="18"/>
  <c r="G147" i="18"/>
  <c r="N146" i="18" a="1"/>
  <c r="I146" i="18"/>
  <c r="G146" i="18"/>
  <c r="N145" i="18" a="1"/>
  <c r="I145" i="18"/>
  <c r="G145" i="18"/>
  <c r="N144" i="18" a="1"/>
  <c r="I144" i="18"/>
  <c r="G144" i="18"/>
  <c r="N143" i="18" a="1"/>
  <c r="I143" i="18"/>
  <c r="G143" i="18"/>
  <c r="N142" i="18" a="1"/>
  <c r="I142" i="18"/>
  <c r="G142" i="18"/>
  <c r="N141" i="18" a="1"/>
  <c r="I141" i="18"/>
  <c r="G141" i="18"/>
  <c r="N140" i="18" a="1"/>
  <c r="I140" i="18"/>
  <c r="G140" i="18"/>
  <c r="N139" i="18" a="1"/>
  <c r="I139" i="18"/>
  <c r="G139" i="18"/>
  <c r="N138" i="18" a="1"/>
  <c r="I138" i="18"/>
  <c r="G138" i="18"/>
  <c r="N137" i="18" a="1"/>
  <c r="I137" i="18"/>
  <c r="G137" i="18"/>
  <c r="N136" i="18" a="1"/>
  <c r="I136" i="18"/>
  <c r="G136" i="18"/>
  <c r="N135" i="18" a="1"/>
  <c r="I135" i="18"/>
  <c r="G135" i="18"/>
  <c r="N134" i="18" a="1"/>
  <c r="I134" i="18"/>
  <c r="G134" i="18"/>
  <c r="N133" i="18" a="1"/>
  <c r="I133" i="18"/>
  <c r="G133" i="18"/>
  <c r="N132" i="18" a="1"/>
  <c r="I132" i="18"/>
  <c r="G132" i="18"/>
  <c r="N131" i="18" a="1"/>
  <c r="I131" i="18"/>
  <c r="G131" i="18"/>
  <c r="N130" i="18" a="1"/>
  <c r="I130" i="18"/>
  <c r="G130" i="18"/>
  <c r="N129" i="18" a="1"/>
  <c r="I129" i="18"/>
  <c r="G129" i="18"/>
  <c r="N128" i="18" a="1"/>
  <c r="I128" i="18"/>
  <c r="G128" i="18"/>
  <c r="N127" i="18" a="1"/>
  <c r="I127" i="18"/>
  <c r="G127" i="18"/>
  <c r="N126" i="18" a="1"/>
  <c r="I126" i="18"/>
  <c r="G126" i="18"/>
  <c r="N125" i="18" a="1"/>
  <c r="I125" i="18"/>
  <c r="G125" i="18"/>
  <c r="N124" i="18" a="1"/>
  <c r="I124" i="18"/>
  <c r="G124" i="18"/>
  <c r="N123" i="18" a="1"/>
  <c r="I123" i="18"/>
  <c r="G123" i="18"/>
  <c r="N122" i="18" a="1"/>
  <c r="I122" i="18"/>
  <c r="G122" i="18"/>
  <c r="N121" i="18" a="1"/>
  <c r="I121" i="18"/>
  <c r="G121" i="18"/>
  <c r="N120" i="18" a="1"/>
  <c r="I120" i="18"/>
  <c r="G120" i="18"/>
  <c r="N119" i="18" a="1"/>
  <c r="I119" i="18"/>
  <c r="G119" i="18"/>
  <c r="N118" i="18" a="1"/>
  <c r="I118" i="18"/>
  <c r="G118" i="18"/>
  <c r="N117" i="18" a="1"/>
  <c r="I117" i="18"/>
  <c r="G117" i="18"/>
  <c r="N116" i="18" a="1"/>
  <c r="I116" i="18"/>
  <c r="G116" i="18"/>
  <c r="N115" i="18" a="1"/>
  <c r="I115" i="18"/>
  <c r="G115" i="18"/>
  <c r="N114" i="18" a="1"/>
  <c r="I114" i="18"/>
  <c r="G114" i="18"/>
  <c r="N113" i="18" a="1"/>
  <c r="I113" i="18"/>
  <c r="G113" i="18"/>
  <c r="N112" i="18" a="1"/>
  <c r="I112" i="18"/>
  <c r="G112" i="18"/>
  <c r="N111" i="18" a="1"/>
  <c r="I111" i="18"/>
  <c r="G111" i="18"/>
  <c r="N110" i="18" a="1"/>
  <c r="I110" i="18"/>
  <c r="G110" i="18"/>
  <c r="N109" i="18" a="1"/>
  <c r="I109" i="18"/>
  <c r="G109" i="18"/>
  <c r="N108" i="18" a="1"/>
  <c r="I108" i="18"/>
  <c r="G108" i="18"/>
  <c r="N107" i="18" a="1"/>
  <c r="I107" i="18"/>
  <c r="G107" i="18"/>
  <c r="N106" i="18" a="1"/>
  <c r="I106" i="18"/>
  <c r="G106" i="18"/>
  <c r="N105" i="18" a="1"/>
  <c r="I105" i="18"/>
  <c r="G105" i="18"/>
  <c r="N104" i="18" a="1"/>
  <c r="I104" i="18"/>
  <c r="G104" i="18"/>
  <c r="N103" i="18" a="1"/>
  <c r="I103" i="18"/>
  <c r="G103" i="18"/>
  <c r="N102" i="18" a="1"/>
  <c r="I102" i="18"/>
  <c r="G102" i="18"/>
  <c r="N101" i="18" a="1"/>
  <c r="I101" i="18"/>
  <c r="G101" i="18"/>
  <c r="N100" i="18" a="1"/>
  <c r="I100" i="18"/>
  <c r="G100" i="18"/>
  <c r="N99" i="18" a="1"/>
  <c r="I99" i="18"/>
  <c r="G99" i="18"/>
  <c r="N98" i="18" a="1"/>
  <c r="I98" i="18"/>
  <c r="G98" i="18"/>
  <c r="N97" i="18" a="1"/>
  <c r="I97" i="18"/>
  <c r="G97" i="18"/>
  <c r="N96" i="18" a="1"/>
  <c r="I96" i="18"/>
  <c r="G96" i="18"/>
  <c r="N95" i="18" a="1"/>
  <c r="I95" i="18"/>
  <c r="G95" i="18"/>
  <c r="N94" i="18" a="1"/>
  <c r="I94" i="18"/>
  <c r="G94" i="18"/>
  <c r="N93" i="18" a="1"/>
  <c r="I93" i="18"/>
  <c r="G93" i="18"/>
  <c r="N92" i="18" a="1"/>
  <c r="I92" i="18"/>
  <c r="G92" i="18"/>
  <c r="N91" i="18" a="1"/>
  <c r="I91" i="18"/>
  <c r="G91" i="18"/>
  <c r="N90" i="18" a="1"/>
  <c r="I90" i="18"/>
  <c r="G90" i="18"/>
  <c r="N89" i="18" a="1"/>
  <c r="I89" i="18"/>
  <c r="G89" i="18"/>
  <c r="N88" i="18" a="1"/>
  <c r="I88" i="18"/>
  <c r="G88" i="18"/>
  <c r="N87" i="18" a="1"/>
  <c r="I87" i="18"/>
  <c r="G87" i="18"/>
  <c r="N86" i="18" a="1"/>
  <c r="I86" i="18"/>
  <c r="G86" i="18"/>
  <c r="N85" i="18" a="1"/>
  <c r="I85" i="18"/>
  <c r="G85" i="18"/>
  <c r="N84" i="18" a="1"/>
  <c r="I84" i="18"/>
  <c r="G84" i="18"/>
  <c r="N83" i="18" a="1"/>
  <c r="I83" i="18"/>
  <c r="G83" i="18"/>
  <c r="N82" i="18" a="1"/>
  <c r="I82" i="18"/>
  <c r="G82" i="18"/>
  <c r="N81" i="18" a="1"/>
  <c r="I81" i="18"/>
  <c r="G81" i="18"/>
  <c r="N80" i="18" a="1"/>
  <c r="I80" i="18"/>
  <c r="G80" i="18"/>
  <c r="N79" i="18" a="1"/>
  <c r="I79" i="18"/>
  <c r="G79" i="18"/>
  <c r="N78" i="18" a="1"/>
  <c r="I78" i="18"/>
  <c r="G78" i="18"/>
  <c r="N77" i="18" a="1"/>
  <c r="I77" i="18"/>
  <c r="G77" i="18"/>
  <c r="N76" i="18" a="1"/>
  <c r="I76" i="18"/>
  <c r="G76" i="18"/>
  <c r="N75" i="18" a="1"/>
  <c r="I75" i="18"/>
  <c r="G75" i="18"/>
  <c r="N74" i="18" a="1"/>
  <c r="I74" i="18"/>
  <c r="G74" i="18"/>
  <c r="N73" i="18" a="1"/>
  <c r="I73" i="18"/>
  <c r="G73" i="18"/>
  <c r="N72" i="18" a="1"/>
  <c r="I72" i="18"/>
  <c r="G72" i="18"/>
  <c r="N71" i="18" a="1"/>
  <c r="I71" i="18"/>
  <c r="G71" i="18"/>
  <c r="N70" i="18" a="1"/>
  <c r="I70" i="18"/>
  <c r="G70" i="18"/>
  <c r="N69" i="18" a="1"/>
  <c r="I69" i="18"/>
  <c r="G69" i="18"/>
  <c r="N68" i="18" a="1"/>
  <c r="I68" i="18"/>
  <c r="G68" i="18"/>
  <c r="N67" i="18" a="1"/>
  <c r="I67" i="18"/>
  <c r="G67" i="18"/>
  <c r="N66" i="18" a="1"/>
  <c r="I66" i="18"/>
  <c r="G66" i="18"/>
  <c r="N65" i="18" a="1"/>
  <c r="I65" i="18"/>
  <c r="G65" i="18"/>
  <c r="N64" i="18" a="1"/>
  <c r="I64" i="18"/>
  <c r="G64" i="18"/>
  <c r="N63" i="18" a="1"/>
  <c r="I63" i="18"/>
  <c r="G63" i="18"/>
  <c r="N62" i="18" a="1"/>
  <c r="I62" i="18"/>
  <c r="G62" i="18"/>
  <c r="N61" i="18" a="1"/>
  <c r="I61" i="18"/>
  <c r="G61" i="18"/>
  <c r="N60" i="18" a="1"/>
  <c r="I60" i="18"/>
  <c r="G60" i="18"/>
  <c r="N59" i="18" a="1"/>
  <c r="I59" i="18"/>
  <c r="G59" i="18"/>
  <c r="N58" i="18" a="1"/>
  <c r="I58" i="18"/>
  <c r="G58" i="18"/>
  <c r="N57" i="18" a="1"/>
  <c r="I57" i="18"/>
  <c r="G57" i="18"/>
  <c r="N56" i="18" a="1"/>
  <c r="I56" i="18"/>
  <c r="G56" i="18"/>
  <c r="N55" i="18" a="1"/>
  <c r="I55" i="18"/>
  <c r="G55" i="18"/>
  <c r="N54" i="18" a="1"/>
  <c r="I54" i="18"/>
  <c r="G54" i="18"/>
  <c r="N53" i="18" a="1"/>
  <c r="I53" i="18"/>
  <c r="G53" i="18"/>
  <c r="N52" i="18" a="1"/>
  <c r="I52" i="18"/>
  <c r="G52" i="18"/>
  <c r="N51" i="18" a="1"/>
  <c r="I51" i="18"/>
  <c r="G51" i="18"/>
  <c r="N50" i="18" a="1"/>
  <c r="I50" i="18"/>
  <c r="G50" i="18"/>
  <c r="N49" i="18" a="1"/>
  <c r="I49" i="18"/>
  <c r="G49" i="18"/>
  <c r="N48" i="18" a="1"/>
  <c r="I48" i="18"/>
  <c r="G48" i="18"/>
  <c r="N47" i="18" a="1"/>
  <c r="I47" i="18"/>
  <c r="G47" i="18"/>
  <c r="N46" i="18" a="1"/>
  <c r="I46" i="18"/>
  <c r="G46" i="18"/>
  <c r="N45" i="18" a="1"/>
  <c r="I45" i="18"/>
  <c r="G45" i="18"/>
  <c r="N44" i="18" a="1"/>
  <c r="I44" i="18"/>
  <c r="G44" i="18"/>
  <c r="N43" i="18" a="1"/>
  <c r="I43" i="18"/>
  <c r="G43" i="18"/>
  <c r="N42" i="18" a="1"/>
  <c r="I42" i="18"/>
  <c r="G42" i="18"/>
  <c r="N41" i="18" a="1"/>
  <c r="I41" i="18"/>
  <c r="G41" i="18"/>
  <c r="N40" i="18" a="1"/>
  <c r="I40" i="18"/>
  <c r="G40" i="18"/>
  <c r="N39" i="18" a="1"/>
  <c r="I39" i="18"/>
  <c r="G39" i="18"/>
  <c r="N38" i="18" a="1"/>
  <c r="I38" i="18"/>
  <c r="G38" i="18"/>
  <c r="N37" i="18" a="1"/>
  <c r="I37" i="18"/>
  <c r="G37" i="18"/>
  <c r="N36" i="18" a="1"/>
  <c r="I36" i="18"/>
  <c r="G36" i="18"/>
  <c r="N35" i="18" a="1"/>
  <c r="I35" i="18"/>
  <c r="G35" i="18"/>
  <c r="N34" i="18" a="1"/>
  <c r="I34" i="18"/>
  <c r="G34" i="18"/>
  <c r="N33" i="18" a="1"/>
  <c r="I33" i="18"/>
  <c r="G33" i="18"/>
  <c r="N32" i="18" a="1"/>
  <c r="I32" i="18"/>
  <c r="G32" i="18"/>
  <c r="N31" i="18" a="1"/>
  <c r="I31" i="18"/>
  <c r="G31" i="18"/>
  <c r="N30" i="18" a="1"/>
  <c r="I30" i="18"/>
  <c r="G30" i="18"/>
  <c r="N29" i="18" a="1"/>
  <c r="I29" i="18"/>
  <c r="G29" i="18"/>
  <c r="N28" i="18" a="1"/>
  <c r="I28" i="18"/>
  <c r="G28" i="18"/>
  <c r="N27" i="18" a="1"/>
  <c r="I27" i="18"/>
  <c r="G27" i="18"/>
  <c r="N26" i="18" a="1"/>
  <c r="I26" i="18"/>
  <c r="G26" i="18"/>
  <c r="N25" i="18" a="1"/>
  <c r="I25" i="18"/>
  <c r="G25" i="18"/>
  <c r="N24" i="18" a="1"/>
  <c r="I24" i="18"/>
  <c r="G24" i="18"/>
  <c r="N23" i="18" a="1"/>
  <c r="I23" i="18"/>
  <c r="G23" i="18"/>
  <c r="N22" i="18" a="1"/>
  <c r="I22" i="18"/>
  <c r="G22" i="18"/>
  <c r="N21" i="18" a="1"/>
  <c r="I21" i="18"/>
  <c r="G21" i="18"/>
  <c r="N20" i="18" a="1"/>
  <c r="I20" i="18"/>
  <c r="G20" i="18"/>
  <c r="N19" i="18" a="1"/>
  <c r="I19" i="18"/>
  <c r="G19" i="18"/>
  <c r="N18" i="18" a="1"/>
  <c r="I18" i="18"/>
  <c r="G18" i="18"/>
  <c r="N17" i="18" a="1"/>
  <c r="I17" i="18"/>
  <c r="G17" i="18"/>
  <c r="N16" i="18" a="1"/>
  <c r="I16" i="18"/>
  <c r="G16" i="18"/>
  <c r="N15" i="18" a="1"/>
  <c r="I15" i="18"/>
  <c r="G15" i="18"/>
  <c r="N14" i="18" a="1"/>
  <c r="I14" i="18"/>
  <c r="G14" i="18"/>
  <c r="N13" i="18" a="1"/>
  <c r="I13" i="18"/>
  <c r="G13" i="18"/>
  <c r="N12" i="18" a="1"/>
  <c r="I12" i="18"/>
  <c r="G12" i="18"/>
  <c r="N11" i="18" a="1"/>
  <c r="I11" i="18"/>
  <c r="G11" i="18"/>
  <c r="N10" i="18" a="1"/>
  <c r="I10" i="18"/>
  <c r="G10" i="18"/>
  <c r="N9" i="18" a="1"/>
  <c r="I9" i="18"/>
  <c r="G9" i="18"/>
  <c r="N8" i="18" a="1"/>
  <c r="I8" i="18"/>
  <c r="G8" i="18"/>
  <c r="N7" i="18" a="1"/>
  <c r="I7" i="18"/>
  <c r="G7" i="18"/>
  <c r="N6" i="18" a="1"/>
  <c r="I6" i="18"/>
  <c r="G6" i="18"/>
  <c r="N5" i="18" a="1"/>
  <c r="I5" i="18"/>
  <c r="G5" i="18"/>
  <c r="N4" i="18" a="1"/>
  <c r="I4" i="18"/>
  <c r="G4" i="18"/>
  <c r="N3" i="18" a="1"/>
  <c r="I3" i="18"/>
  <c r="G3" i="18"/>
  <c r="N2" i="18" a="1"/>
  <c r="I2" i="18"/>
  <c r="G2" i="18"/>
  <c r="W2" i="17"/>
  <c r="V2" i="17"/>
  <c r="W2" i="1"/>
  <c r="V2" i="1"/>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2" i="8"/>
  <c r="I2" i="8"/>
  <c r="H2" i="8"/>
  <c r="G2" i="8"/>
  <c r="F2" i="8"/>
  <c r="E2" i="8"/>
  <c r="C47" i="16"/>
  <c r="C48" i="16"/>
  <c r="C49" i="16"/>
  <c r="C50" i="16"/>
  <c r="C51" i="16"/>
  <c r="C52" i="16"/>
  <c r="C53" i="16"/>
  <c r="C54" i="16"/>
  <c r="C55" i="16"/>
  <c r="C56" i="16"/>
  <c r="C57" i="16"/>
  <c r="C58" i="16"/>
  <c r="C59" i="16"/>
  <c r="C60" i="16"/>
  <c r="C61" i="10"/>
  <c r="C62" i="10"/>
  <c r="C63" i="10"/>
  <c r="C64" i="10"/>
  <c r="C65" i="10"/>
  <c r="C66" i="10"/>
  <c r="C67" i="10"/>
  <c r="C68" i="10"/>
  <c r="C69" i="10"/>
  <c r="C70" i="10"/>
  <c r="C71" i="10"/>
  <c r="C72" i="10"/>
  <c r="C73" i="10"/>
  <c r="C74" i="10"/>
  <c r="C75" i="10"/>
  <c r="AG5" i="7"/>
  <c r="AG6" i="7"/>
  <c r="AG7" i="7"/>
  <c r="AG4" i="7"/>
  <c r="AG8" i="7" s="1"/>
  <c r="S4" i="7"/>
  <c r="S3" i="7"/>
  <c r="S5" i="7" s="1"/>
  <c r="D50" i="7"/>
  <c r="C50" i="7"/>
  <c r="B50" i="7"/>
  <c r="X2" i="17" l="1"/>
  <c r="X2" i="1"/>
  <c r="D47" i="16"/>
  <c r="E47" i="16"/>
  <c r="D48" i="16"/>
  <c r="E48" i="16"/>
  <c r="D49" i="16"/>
  <c r="E49" i="16"/>
  <c r="D50" i="16"/>
  <c r="E50" i="16"/>
  <c r="D51" i="16"/>
  <c r="E51" i="16"/>
  <c r="D52" i="16"/>
  <c r="E52" i="16"/>
  <c r="D53" i="16"/>
  <c r="E53" i="16"/>
  <c r="D54" i="16"/>
  <c r="E54" i="16"/>
  <c r="D55" i="16"/>
  <c r="E55" i="16"/>
  <c r="D56" i="16"/>
  <c r="E56" i="16"/>
  <c r="D57" i="16"/>
  <c r="E57" i="16"/>
  <c r="D58" i="16"/>
  <c r="E58" i="16"/>
  <c r="D59" i="16"/>
  <c r="E59" i="16"/>
  <c r="D60" i="16"/>
  <c r="E60" i="16"/>
  <c r="D61" i="10"/>
  <c r="E61" i="10"/>
  <c r="D62" i="10"/>
  <c r="E62" i="10"/>
  <c r="D63" i="10"/>
  <c r="E63" i="10"/>
  <c r="E64" i="10"/>
  <c r="D64" i="10"/>
  <c r="D65" i="10"/>
  <c r="E65" i="10"/>
  <c r="E66" i="10"/>
  <c r="D66" i="10"/>
  <c r="D67" i="10"/>
  <c r="E67" i="10"/>
  <c r="D68" i="10"/>
  <c r="E68" i="10"/>
  <c r="D69" i="10"/>
  <c r="E69" i="10"/>
  <c r="D70" i="10"/>
  <c r="E70" i="10"/>
  <c r="D71" i="10"/>
  <c r="E71" i="10"/>
  <c r="D72" i="10"/>
  <c r="E72" i="10"/>
  <c r="E73" i="10"/>
  <c r="D73" i="10"/>
  <c r="D74" i="10"/>
  <c r="E74" i="10"/>
  <c r="D75" i="10"/>
  <c r="E75" i="10"/>
  <c r="Z2" i="17" l="1"/>
  <c r="Y2" i="17"/>
  <c r="Z2" i="1"/>
  <c r="Y2" i="1"/>
  <c r="U87" i="1" l="1"/>
  <c r="U83" i="1"/>
  <c r="U80" i="1"/>
  <c r="U74" i="1"/>
  <c r="U72" i="1"/>
  <c r="U68" i="1"/>
  <c r="U64" i="1"/>
  <c r="U20" i="1"/>
  <c r="U2" i="1"/>
  <c r="U91" i="1"/>
  <c r="U88" i="1"/>
  <c r="U84" i="1"/>
  <c r="U79" i="1"/>
  <c r="U75" i="1"/>
  <c r="U71" i="1"/>
  <c r="U70" i="1"/>
  <c r="U66" i="1"/>
  <c r="U57" i="1"/>
  <c r="U55" i="1"/>
  <c r="U95" i="1"/>
  <c r="U62" i="1"/>
  <c r="U58" i="1"/>
  <c r="U53" i="1"/>
  <c r="U49" i="1"/>
  <c r="U44" i="1"/>
  <c r="U40" i="1"/>
  <c r="U37" i="1"/>
  <c r="U34" i="1"/>
  <c r="U28" i="1"/>
  <c r="U24" i="1"/>
  <c r="U21" i="1"/>
  <c r="U18" i="1"/>
  <c r="U15" i="1"/>
  <c r="U13" i="1"/>
  <c r="U10" i="1"/>
  <c r="U7" i="1"/>
  <c r="U3" i="1"/>
  <c r="U96" i="1"/>
  <c r="U92" i="1"/>
  <c r="U89" i="1"/>
  <c r="U85" i="1"/>
  <c r="U82" i="1"/>
  <c r="U78" i="1"/>
  <c r="U76" i="1"/>
  <c r="U69" i="1"/>
  <c r="U65" i="1"/>
  <c r="U61" i="1"/>
  <c r="U59" i="1"/>
  <c r="U56" i="1"/>
  <c r="U52" i="1"/>
  <c r="U48" i="1"/>
  <c r="U45" i="1"/>
  <c r="U41" i="1"/>
  <c r="U36" i="1"/>
  <c r="U32" i="1"/>
  <c r="U30" i="1"/>
  <c r="U25" i="1"/>
  <c r="U6" i="1"/>
  <c r="U50" i="1"/>
  <c r="U46" i="1"/>
  <c r="U42" i="1"/>
  <c r="U38" i="1"/>
  <c r="U35" i="1"/>
  <c r="U31" i="1"/>
  <c r="U27" i="1"/>
  <c r="U23" i="1"/>
  <c r="U19" i="1"/>
  <c r="U16" i="1"/>
  <c r="U12" i="1"/>
  <c r="U9" i="1"/>
  <c r="U5" i="1"/>
  <c r="U97" i="1"/>
  <c r="U93" i="1"/>
  <c r="U90" i="1"/>
  <c r="U86" i="1"/>
  <c r="U81" i="1"/>
  <c r="U77" i="1"/>
  <c r="U73" i="1"/>
  <c r="U67" i="1"/>
  <c r="U63" i="1"/>
  <c r="U60" i="1"/>
  <c r="U54" i="1"/>
  <c r="U51" i="1"/>
  <c r="U47" i="1"/>
  <c r="U43" i="1"/>
  <c r="U39" i="1"/>
  <c r="U33" i="1"/>
  <c r="U29" i="1"/>
  <c r="U26" i="1"/>
  <c r="U22" i="1"/>
  <c r="U17" i="1"/>
  <c r="U14" i="1"/>
  <c r="U11" i="1"/>
  <c r="U8" i="1"/>
  <c r="U4" i="1"/>
  <c r="U94" i="1"/>
  <c r="U2" i="17"/>
  <c r="U97" i="17"/>
  <c r="U96" i="17"/>
  <c r="U94" i="17"/>
  <c r="U93" i="17"/>
  <c r="U92" i="17"/>
  <c r="U91" i="17"/>
  <c r="U90" i="17"/>
  <c r="U89" i="17"/>
  <c r="U88" i="17"/>
  <c r="U87" i="17"/>
  <c r="U86" i="17"/>
  <c r="U85" i="17"/>
  <c r="U84" i="17"/>
  <c r="U83" i="17"/>
  <c r="U82" i="17"/>
  <c r="U81" i="17"/>
  <c r="U80" i="17"/>
  <c r="U78" i="17"/>
  <c r="U77" i="17"/>
  <c r="U75" i="17"/>
  <c r="U73" i="17"/>
  <c r="U71" i="17"/>
  <c r="U70" i="17"/>
  <c r="U68" i="17"/>
  <c r="U66" i="17"/>
  <c r="U64" i="17"/>
  <c r="U62" i="17"/>
  <c r="U60" i="17"/>
  <c r="U58" i="17"/>
  <c r="U56" i="17"/>
  <c r="U54" i="17"/>
  <c r="U52" i="17"/>
  <c r="U49" i="17"/>
  <c r="U48" i="17"/>
  <c r="U45" i="17"/>
  <c r="U43" i="17"/>
  <c r="U42" i="17"/>
  <c r="U40" i="17"/>
  <c r="U38" i="17"/>
  <c r="U36" i="17"/>
  <c r="U34" i="17"/>
  <c r="U32" i="17"/>
  <c r="U30" i="17"/>
  <c r="U28" i="17"/>
  <c r="U26" i="17"/>
  <c r="U25" i="17"/>
  <c r="U23" i="17"/>
  <c r="U21" i="17"/>
  <c r="U19" i="17"/>
  <c r="U17" i="17"/>
  <c r="U15" i="17"/>
  <c r="U13" i="17"/>
  <c r="U11" i="17"/>
  <c r="U22" i="17"/>
  <c r="U95" i="17"/>
  <c r="U79" i="17"/>
  <c r="U76" i="17"/>
  <c r="U74" i="17"/>
  <c r="U72" i="17"/>
  <c r="U69" i="17"/>
  <c r="U67" i="17"/>
  <c r="U65" i="17"/>
  <c r="U63" i="17"/>
  <c r="U61" i="17"/>
  <c r="U59" i="17"/>
  <c r="U57" i="17"/>
  <c r="U55" i="17"/>
  <c r="U53" i="17"/>
  <c r="U51" i="17"/>
  <c r="U50" i="17"/>
  <c r="U47" i="17"/>
  <c r="U46" i="17"/>
  <c r="U44" i="17"/>
  <c r="U41" i="17"/>
  <c r="U39" i="17"/>
  <c r="U37" i="17"/>
  <c r="U35" i="17"/>
  <c r="U33" i="17"/>
  <c r="U31" i="17"/>
  <c r="U29" i="17"/>
  <c r="U27" i="17"/>
  <c r="U24" i="17"/>
  <c r="U20" i="17"/>
  <c r="U18" i="17"/>
  <c r="U16" i="17"/>
  <c r="U14" i="17"/>
  <c r="U12" i="17"/>
  <c r="U10" i="17"/>
  <c r="U9" i="17"/>
  <c r="U8" i="17"/>
  <c r="U7" i="17"/>
  <c r="U6" i="17"/>
  <c r="U5" i="17"/>
  <c r="U4" i="17"/>
  <c r="U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<sst xmlns="http://schemas.openxmlformats.org/spreadsheetml/2006/main" count="3165" uniqueCount="149">
  <si>
    <t>01-01-2011</t>
  </si>
  <si>
    <t>01-Jan-2011</t>
  </si>
  <si>
    <t>Jan</t>
  </si>
  <si>
    <t>Sunny Day</t>
  </si>
  <si>
    <t>Cloudy Day</t>
  </si>
  <si>
    <t>null</t>
  </si>
  <si>
    <t>Rainy Day</t>
  </si>
  <si>
    <t>02-01-2011</t>
  </si>
  <si>
    <t>02-Jan-2011</t>
  </si>
  <si>
    <t>03-01-2011</t>
  </si>
  <si>
    <t>03-Jan-2011</t>
  </si>
  <si>
    <t>04-01-2011</t>
  </si>
  <si>
    <t>04-Jan-2011</t>
  </si>
  <si>
    <t>05-01-2011</t>
  </si>
  <si>
    <t>05-Jan-2011</t>
  </si>
  <si>
    <t>06-01-2011</t>
  </si>
  <si>
    <t>06-Jan-2011</t>
  </si>
  <si>
    <t>07-01-2011</t>
  </si>
  <si>
    <t>07-Jan-2011</t>
  </si>
  <si>
    <t>08-01-2011</t>
  </si>
  <si>
    <t>08-Jan-2011</t>
  </si>
  <si>
    <t>09-01-2011</t>
  </si>
  <si>
    <t>09-Jan-2011</t>
  </si>
  <si>
    <t>10-01-2011</t>
  </si>
  <si>
    <t>10-Jan-2011</t>
  </si>
  <si>
    <t>11-01-2011</t>
  </si>
  <si>
    <t>11-Jan-2011</t>
  </si>
  <si>
    <t>12-01-2011</t>
  </si>
  <si>
    <t>12-Jan-2011</t>
  </si>
  <si>
    <t>13-01-2011</t>
  </si>
  <si>
    <t>13-Jan-2011</t>
  </si>
  <si>
    <t>14-01-2011</t>
  </si>
  <si>
    <t>14-Jan-2011</t>
  </si>
  <si>
    <t>15-01-2011</t>
  </si>
  <si>
    <t>15-Jan-2011</t>
  </si>
  <si>
    <t>16-01-2011</t>
  </si>
  <si>
    <t>16-Jan-2011</t>
  </si>
  <si>
    <t>17-01-2011</t>
  </si>
  <si>
    <t>17-Jan-2011</t>
  </si>
  <si>
    <t>18-01-2011</t>
  </si>
  <si>
    <t>18-Jan-2011</t>
  </si>
  <si>
    <t>19-01-2011</t>
  </si>
  <si>
    <t>19-Jan-2011</t>
  </si>
  <si>
    <t>20-01-2011</t>
  </si>
  <si>
    <t>20-Jan-2011</t>
  </si>
  <si>
    <t>21-01-2011</t>
  </si>
  <si>
    <t>21-Jan-2011</t>
  </si>
  <si>
    <t>22-01-2011</t>
  </si>
  <si>
    <t>22-Jan-2011</t>
  </si>
  <si>
    <t>23-01-2011</t>
  </si>
  <si>
    <t>23-Jan-2011</t>
  </si>
  <si>
    <t>24-01-2011</t>
  </si>
  <si>
    <t>24-Jan-2011</t>
  </si>
  <si>
    <t>25-01-2011</t>
  </si>
  <si>
    <t>25-Jan-2011</t>
  </si>
  <si>
    <t>26-01-2011</t>
  </si>
  <si>
    <t>26-Jan-2011</t>
  </si>
  <si>
    <t>Heavy Rain</t>
  </si>
  <si>
    <t>27-01-2011</t>
  </si>
  <si>
    <t>27-Jan-2011</t>
  </si>
  <si>
    <t>28-01-2011</t>
  </si>
  <si>
    <t>28-Jan-2011</t>
  </si>
  <si>
    <t>29-01-2011</t>
  </si>
  <si>
    <t>29-Jan-2011</t>
  </si>
  <si>
    <t>30-01-2011</t>
  </si>
  <si>
    <t>30-Jan-2011</t>
  </si>
  <si>
    <t>31-01-2011</t>
  </si>
  <si>
    <t>31-Jan-2011</t>
  </si>
  <si>
    <t>01-02-2011</t>
  </si>
  <si>
    <t>01-Feb-2011</t>
  </si>
  <si>
    <t>Feb</t>
  </si>
  <si>
    <t>02-02-2011</t>
  </si>
  <si>
    <t>02-Feb-2011</t>
  </si>
  <si>
    <t>03-02-2011</t>
  </si>
  <si>
    <t>03-Feb-2011</t>
  </si>
  <si>
    <t>04-02-2011</t>
  </si>
  <si>
    <t>04-Feb-2011</t>
  </si>
  <si>
    <t>05-02-2011</t>
  </si>
  <si>
    <t>05-Feb-2011</t>
  </si>
  <si>
    <t>06-02-2011</t>
  </si>
  <si>
    <t>06-Feb-2011</t>
  </si>
  <si>
    <t>07-02-2011</t>
  </si>
  <si>
    <t>07-Feb-2011</t>
  </si>
  <si>
    <t>08-02-2011</t>
  </si>
  <si>
    <t>08-Feb-2011</t>
  </si>
  <si>
    <t>09-02-2011</t>
  </si>
  <si>
    <t>09-Feb-2011</t>
  </si>
  <si>
    <t>10-02-2011</t>
  </si>
  <si>
    <t>10-Feb-2011</t>
  </si>
  <si>
    <t>11-02-2011</t>
  </si>
  <si>
    <t>11-Feb-2011</t>
  </si>
  <si>
    <t>12-02-2011</t>
  </si>
  <si>
    <t>12-Feb-2011</t>
  </si>
  <si>
    <t>13-02-2011</t>
  </si>
  <si>
    <t>13-Feb-2011</t>
  </si>
  <si>
    <t>14-02-2011</t>
  </si>
  <si>
    <t>14-Feb-2011</t>
  </si>
  <si>
    <t>instant</t>
  </si>
  <si>
    <t>Dteday</t>
  </si>
  <si>
    <t>Date</t>
  </si>
  <si>
    <t>season</t>
  </si>
  <si>
    <t>yr</t>
  </si>
  <si>
    <t>mnth</t>
  </si>
  <si>
    <t>Month</t>
  </si>
  <si>
    <t>hr</t>
  </si>
  <si>
    <t>Pick Hours</t>
  </si>
  <si>
    <t>holiday</t>
  </si>
  <si>
    <t>weekday</t>
  </si>
  <si>
    <t>Weekend</t>
  </si>
  <si>
    <t>weathersit</t>
  </si>
  <si>
    <t>Weather Type</t>
  </si>
  <si>
    <t>temp</t>
  </si>
  <si>
    <t>atemp</t>
  </si>
  <si>
    <t>hum</t>
  </si>
  <si>
    <t>windspeed</t>
  </si>
  <si>
    <t>casual</t>
  </si>
  <si>
    <t>registered</t>
  </si>
  <si>
    <t>cnt</t>
  </si>
  <si>
    <t>Row Labels</t>
  </si>
  <si>
    <t>Grand Total</t>
  </si>
  <si>
    <t>Average of temp</t>
  </si>
  <si>
    <t>Sum of casual</t>
  </si>
  <si>
    <t>Sum of registered</t>
  </si>
  <si>
    <t>Total</t>
  </si>
  <si>
    <t>Weekday</t>
  </si>
  <si>
    <t>Holiday</t>
  </si>
  <si>
    <t>Workday</t>
  </si>
  <si>
    <t>Sum of Total</t>
  </si>
  <si>
    <t>Weektype</t>
  </si>
  <si>
    <t>Daytype</t>
  </si>
  <si>
    <t>Average of windspeed</t>
  </si>
  <si>
    <t>Average of hum</t>
  </si>
  <si>
    <t>Timeline</t>
  </si>
  <si>
    <t>Values</t>
  </si>
  <si>
    <t>Forecast</t>
  </si>
  <si>
    <t>Lower Confidence Bound</t>
  </si>
  <si>
    <t>Upper Confidence Bound</t>
  </si>
  <si>
    <t xml:space="preserve">Registered </t>
  </si>
  <si>
    <t>Forecast(Registered )</t>
  </si>
  <si>
    <t>Lower Confidence Bound(Registered )</t>
  </si>
  <si>
    <t>Upper Confidence Bound(Registered )</t>
  </si>
  <si>
    <t>Outlier</t>
  </si>
  <si>
    <t>Q1</t>
  </si>
  <si>
    <t>Q3</t>
  </si>
  <si>
    <t>IQR</t>
  </si>
  <si>
    <t>Upper Bound</t>
  </si>
  <si>
    <t>Lower Bound</t>
  </si>
  <si>
    <t>Q2</t>
  </si>
  <si>
    <t>Day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</si>
</sst>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164" fontId="0" fillId="2" borderId="2" xfId="0" applyNumberFormat="1" applyFill="1" applyBorder="1"/>
    <xf numFmtId="0" fontId="0" fillId="0" borderId="0" xfId="0" pivotButton="1"/>
    <xf numFmtId="0" fontId="0" fillId="0" borderId="0" xfId="0" applyAlignment="1">
      <alignment horizontal="left"/>
    </xf>
    <xf numFmtId="164" fontId="0" fillId="2" borderId="4" xfId="0" applyNumberFormat="1" applyFill="1" applyBorder="1"/>
    <xf numFmtId="0" fontId="2" fillId="2" borderId="5" xfId="0" applyFont="1" applyFill="1" applyBorder="1" applyAlignment="1">
      <alignment horizontal="left"/>
    </xf>
    <xf numFmtId="15" fontId="0" fillId="0" borderId="0" xfId="0" applyNumberFormat="1"/>
    <xf numFmtId="1" fontId="0" fillId="0" borderId="0" xfId="0" applyNumberFormat="1"/>
    <xf numFmtId="2" fontId="0" fillId="0" borderId="0" xfId="0" applyNumberFormat="1"/>
    <xf numFmtId="0" fontId="0" fillId="3" borderId="0" xfId="0" applyFill="1"/>
    <xf numFmtId="0" fontId="1" fillId="0" borderId="0" xfId="0" applyFont="1"/>
    <xf numFmtId="0" fontId="0" fillId="4" borderId="0" xfId="0" applyFill="1"/>
  </cellXfs>
  <cellStyles count="1">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color rgb="FF9C0006"/>
      </font>
      <fill>
        <patternFill>
          <bgColor rgb="FFFFC7CE"/>
        </patternFill>
      </fill>
    </dxf>
    <dxf>
      <font>
        <b/>
        <i val="0"/>
        <color rgb="FFFFC000"/>
      </font>
    </dxf>
    <dxf>
      <font>
        <b/>
        <i val="0"/>
        <color rgb="FF0070C0"/>
      </font>
    </dxf>
    <dxf>
      <numFmt numFmtId="2" formatCode="0.00"/>
    </dxf>
    <dxf>
      <numFmt numFmtId="2" formatCode="0.00"/>
    </dxf>
    <dxf>
      <numFmt numFmtId="20" formatCode="dd/mmm/yy"/>
    </dxf>
    <dxf>
      <numFmt numFmtId="2" formatCode="0.00"/>
    </dxf>
    <dxf>
      <numFmt numFmtId="2" formatCode="0.00"/>
    </dxf>
    <dxf>
      <numFmt numFmtId="20" formatCode="dd/mmm/yy"/>
    </dxf>
  </dxfs>
  <tableStyles count="0" defaultTableStyle="TableStyleMedium2" defaultPivotStyle="PivotStyleLight16"/>
  <colors>
    <mruColors>
      <color rgb="FF5709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Goswami.xlsx]Pivot!PivotTable23</c:name>
    <c:fmtId val="26"/>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1400" b="1" u="sng"/>
              <a:t>Monthly</a:t>
            </a:r>
            <a:r>
              <a:rPr lang="en-IN" sz="1400" b="1" u="sng" baseline="0"/>
              <a:t> Demand</a:t>
            </a:r>
            <a:endParaRPr lang="en-IN" sz="1400" b="1" u="sng"/>
          </a:p>
        </c:rich>
      </c:tx>
      <c:layout>
        <c:manualLayout>
          <c:xMode val="edge"/>
          <c:yMode val="edge"/>
          <c:x val="0.23048523206751059"/>
          <c:y val="1.5606514670740783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13131665503836"/>
          <c:y val="0.13911397735730796"/>
          <c:w val="0.7537503912928315"/>
          <c:h val="0.66953460085781957"/>
        </c:manualLayout>
      </c:layout>
      <c:bar3DChart>
        <c:barDir val="bar"/>
        <c:grouping val="clustered"/>
        <c:varyColors val="0"/>
        <c:ser>
          <c:idx val="0"/>
          <c:order val="0"/>
          <c:tx>
            <c:strRef>
              <c:f>Pivot!$G$2</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Pivot!$G$3:$G$5</c:f>
              <c:numCache>
                <c:formatCode>General</c:formatCode>
                <c:ptCount val="2"/>
                <c:pt idx="0">
                  <c:v>155</c:v>
                </c:pt>
                <c:pt idx="1">
                  <c:v>49</c:v>
                </c:pt>
              </c:numCache>
            </c:numRef>
          </c:val>
          <c:extLst>
            <c:ext xmlns:c16="http://schemas.microsoft.com/office/drawing/2014/chart" uri="{C3380CC4-5D6E-409C-BE32-E72D297353CC}">
              <c16:uniqueId val="{00000000-31BA-491E-AAE6-417E8D15B1F6}"/>
            </c:ext>
          </c:extLst>
        </c:ser>
        <c:ser>
          <c:idx val="1"/>
          <c:order val="1"/>
          <c:tx>
            <c:strRef>
              <c:f>Pivot!$H$2</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Pivot!$H$3:$H$5</c:f>
              <c:numCache>
                <c:formatCode>General</c:formatCode>
                <c:ptCount val="2"/>
                <c:pt idx="0">
                  <c:v>1854</c:v>
                </c:pt>
                <c:pt idx="1">
                  <c:v>1064</c:v>
                </c:pt>
              </c:numCache>
            </c:numRef>
          </c:val>
          <c:extLst>
            <c:ext xmlns:c16="http://schemas.microsoft.com/office/drawing/2014/chart" uri="{C3380CC4-5D6E-409C-BE32-E72D297353CC}">
              <c16:uniqueId val="{00000001-31BA-491E-AAE6-417E8D15B1F6}"/>
            </c:ext>
          </c:extLst>
        </c:ser>
        <c:ser>
          <c:idx val="2"/>
          <c:order val="2"/>
          <c:tx>
            <c:strRef>
              <c:f>Pivot!$I$2</c:f>
              <c:strCache>
                <c:ptCount val="1"/>
                <c:pt idx="0">
                  <c:v>Sum of 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Pivot!$I$3:$I$5</c:f>
              <c:numCache>
                <c:formatCode>General</c:formatCode>
                <c:ptCount val="2"/>
                <c:pt idx="0">
                  <c:v>2009</c:v>
                </c:pt>
                <c:pt idx="1">
                  <c:v>1113</c:v>
                </c:pt>
              </c:numCache>
            </c:numRef>
          </c:val>
          <c:extLst>
            <c:ext xmlns:c16="http://schemas.microsoft.com/office/drawing/2014/chart" uri="{C3380CC4-5D6E-409C-BE32-E72D297353CC}">
              <c16:uniqueId val="{00000002-31BA-491E-AAE6-417E8D15B1F6}"/>
            </c:ext>
          </c:extLst>
        </c:ser>
        <c:dLbls>
          <c:showLegendKey val="0"/>
          <c:showVal val="1"/>
          <c:showCatName val="0"/>
          <c:showSerName val="0"/>
          <c:showPercent val="0"/>
          <c:showBubbleSize val="0"/>
        </c:dLbls>
        <c:gapWidth val="150"/>
        <c:shape val="box"/>
        <c:axId val="283111167"/>
        <c:axId val="485156015"/>
        <c:axId val="0"/>
      </c:bar3DChart>
      <c:catAx>
        <c:axId val="28311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56015"/>
        <c:crosses val="autoZero"/>
        <c:auto val="1"/>
        <c:lblAlgn val="ctr"/>
        <c:lblOffset val="100"/>
        <c:noMultiLvlLbl val="0"/>
      </c:catAx>
      <c:valAx>
        <c:axId val="48515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311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Goswami.xlsx]Pivot!PivotTable24</c:name>
    <c:fmtId val="3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t>Weatherwise</a:t>
            </a:r>
            <a:r>
              <a:rPr lang="en-IN" b="1" u="sng" baseline="0"/>
              <a:t> Demand</a:t>
            </a:r>
            <a:endParaRPr lang="en-IN" b="1" u="sng"/>
          </a:p>
        </c:rich>
      </c:tx>
      <c:layout>
        <c:manualLayout>
          <c:xMode val="edge"/>
          <c:yMode val="edge"/>
          <c:x val="0.24190726159230097"/>
          <c:y val="2.4645717806531114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Pivot!$L$2</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Pivot!$L$3:$L$7</c:f>
              <c:numCache>
                <c:formatCode>General</c:formatCode>
                <c:ptCount val="4"/>
                <c:pt idx="0">
                  <c:v>81</c:v>
                </c:pt>
                <c:pt idx="1">
                  <c:v>1</c:v>
                </c:pt>
                <c:pt idx="2">
                  <c:v>23</c:v>
                </c:pt>
                <c:pt idx="3">
                  <c:v>99</c:v>
                </c:pt>
              </c:numCache>
            </c:numRef>
          </c:val>
          <c:extLst>
            <c:ext xmlns:c16="http://schemas.microsoft.com/office/drawing/2014/chart" uri="{C3380CC4-5D6E-409C-BE32-E72D297353CC}">
              <c16:uniqueId val="{00000000-502C-4B4E-886F-EB414DFEFD70}"/>
            </c:ext>
          </c:extLst>
        </c:ser>
        <c:ser>
          <c:idx val="1"/>
          <c:order val="1"/>
          <c:tx>
            <c:strRef>
              <c:f>Pivot!$M$2</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Pivot!$M$3:$M$7</c:f>
              <c:numCache>
                <c:formatCode>General</c:formatCode>
                <c:ptCount val="4"/>
                <c:pt idx="0">
                  <c:v>1175</c:v>
                </c:pt>
                <c:pt idx="1">
                  <c:v>35</c:v>
                </c:pt>
                <c:pt idx="2">
                  <c:v>497</c:v>
                </c:pt>
                <c:pt idx="3">
                  <c:v>1211</c:v>
                </c:pt>
              </c:numCache>
            </c:numRef>
          </c:val>
          <c:extLst>
            <c:ext xmlns:c16="http://schemas.microsoft.com/office/drawing/2014/chart" uri="{C3380CC4-5D6E-409C-BE32-E72D297353CC}">
              <c16:uniqueId val="{00000001-502C-4B4E-886F-EB414DFEFD70}"/>
            </c:ext>
          </c:extLst>
        </c:ser>
        <c:ser>
          <c:idx val="2"/>
          <c:order val="2"/>
          <c:tx>
            <c:strRef>
              <c:f>Pivot!$N$2</c:f>
              <c:strCache>
                <c:ptCount val="1"/>
                <c:pt idx="0">
                  <c:v>Sum of 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Pivot!$N$3:$N$7</c:f>
              <c:numCache>
                <c:formatCode>General</c:formatCode>
                <c:ptCount val="4"/>
                <c:pt idx="0">
                  <c:v>1256</c:v>
                </c:pt>
                <c:pt idx="1">
                  <c:v>36</c:v>
                </c:pt>
                <c:pt idx="2">
                  <c:v>520</c:v>
                </c:pt>
                <c:pt idx="3">
                  <c:v>1310</c:v>
                </c:pt>
              </c:numCache>
            </c:numRef>
          </c:val>
          <c:extLst>
            <c:ext xmlns:c16="http://schemas.microsoft.com/office/drawing/2014/chart" uri="{C3380CC4-5D6E-409C-BE32-E72D297353CC}">
              <c16:uniqueId val="{00000002-502C-4B4E-886F-EB414DFEFD70}"/>
            </c:ext>
          </c:extLst>
        </c:ser>
        <c:dLbls>
          <c:showLegendKey val="0"/>
          <c:showVal val="1"/>
          <c:showCatName val="0"/>
          <c:showSerName val="0"/>
          <c:showPercent val="0"/>
          <c:showBubbleSize val="0"/>
        </c:dLbls>
        <c:gapWidth val="150"/>
        <c:shape val="box"/>
        <c:axId val="386466447"/>
        <c:axId val="485137775"/>
        <c:axId val="0"/>
      </c:bar3DChart>
      <c:catAx>
        <c:axId val="38646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37775"/>
        <c:crosses val="autoZero"/>
        <c:auto val="1"/>
        <c:lblAlgn val="ctr"/>
        <c:lblOffset val="100"/>
        <c:noMultiLvlLbl val="0"/>
      </c:catAx>
      <c:valAx>
        <c:axId val="48513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646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rgbClr val="FFC000"/>
        </a:gs>
        <a:gs pos="6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Goswami.xlsx]Pivot!PivotTable30</c:name>
    <c:fmtId val="43"/>
  </c:pivotSource>
  <c:chart>
    <c:title>
      <c:tx>
        <c:rich>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Day Type Demand</a:t>
            </a:r>
          </a:p>
        </c:rich>
      </c:tx>
      <c:layout>
        <c:manualLayout>
          <c:xMode val="edge"/>
          <c:yMode val="edge"/>
          <c:x val="0.2144070459502421"/>
          <c:y val="6.9156293222683268E-2"/>
        </c:manualLayout>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Pivot!$V$3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2C-47AB-A9D4-66EE963E0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2C-47AB-A9D4-66EE963E06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Pivot!$U$4:$U$6</c:f>
              <c:strCache>
                <c:ptCount val="2"/>
                <c:pt idx="0">
                  <c:v>Holiday</c:v>
                </c:pt>
                <c:pt idx="1">
                  <c:v>Workday</c:v>
                </c:pt>
              </c:strCache>
            </c:strRef>
          </c:cat>
          <c:val>
            <c:numRef>
              <c:f>Pivot!$V$4:$V$6</c:f>
              <c:numCache>
                <c:formatCode>General</c:formatCode>
                <c:ptCount val="2"/>
                <c:pt idx="0">
                  <c:v>1387</c:v>
                </c:pt>
                <c:pt idx="1">
                  <c:v>1735</c:v>
                </c:pt>
              </c:numCache>
            </c:numRef>
          </c:val>
          <c:extLst>
            <c:ext xmlns:c16="http://schemas.microsoft.com/office/drawing/2014/chart" uri="{C3380CC4-5D6E-409C-BE32-E72D297353CC}">
              <c16:uniqueId val="{00000004-932C-47AB-A9D4-66EE963E069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Goswami.xlsx]Pivot!PivotTable31</c:name>
    <c:fmtId val="4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pivotFmt>
    </c:pivotFmts>
    <c:plotArea>
      <c:layout/>
      <c:lineChart>
        <c:grouping val="standard"/>
        <c:varyColors val="0"/>
        <c:ser>
          <c:idx val="0"/>
          <c:order val="0"/>
          <c:tx>
            <c:strRef>
              <c:f>Pivot!$Y$3</c:f>
              <c:strCache>
                <c:ptCount val="1"/>
                <c:pt idx="0">
                  <c:v>Average of temp</c:v>
                </c:pt>
              </c:strCache>
            </c:strRef>
          </c:tx>
          <c:spPr>
            <a:ln w="28575" cap="rnd">
              <a:solidFill>
                <a:schemeClr val="accent1"/>
              </a:solidFill>
              <a:round/>
            </a:ln>
            <a:effectLst/>
          </c:spPr>
          <c:marker>
            <c:symbol val="none"/>
          </c:marker>
          <c:cat>
            <c:strRef>
              <c:f>Pivot!$X$4:$X$8</c:f>
              <c:strCache>
                <c:ptCount val="4"/>
                <c:pt idx="0">
                  <c:v>Cloudy Day</c:v>
                </c:pt>
                <c:pt idx="1">
                  <c:v>Heavy Rain</c:v>
                </c:pt>
                <c:pt idx="2">
                  <c:v>Rainy Day</c:v>
                </c:pt>
                <c:pt idx="3">
                  <c:v>Sunny Day</c:v>
                </c:pt>
              </c:strCache>
            </c:strRef>
          </c:cat>
          <c:val>
            <c:numRef>
              <c:f>Pivot!$Y$4:$Y$8</c:f>
              <c:numCache>
                <c:formatCode>General</c:formatCode>
                <c:ptCount val="4"/>
                <c:pt idx="0">
                  <c:v>0.18833333333333335</c:v>
                </c:pt>
                <c:pt idx="1">
                  <c:v>0.22</c:v>
                </c:pt>
                <c:pt idx="2">
                  <c:v>0.22000000000000006</c:v>
                </c:pt>
                <c:pt idx="3">
                  <c:v>0.19428571428571426</c:v>
                </c:pt>
              </c:numCache>
            </c:numRef>
          </c:val>
          <c:smooth val="0"/>
          <c:extLst>
            <c:ext xmlns:c16="http://schemas.microsoft.com/office/drawing/2014/chart" uri="{C3380CC4-5D6E-409C-BE32-E72D297353CC}">
              <c16:uniqueId val="{00000000-B53B-4806-84B8-0922C2D3B40B}"/>
            </c:ext>
          </c:extLst>
        </c:ser>
        <c:ser>
          <c:idx val="1"/>
          <c:order val="1"/>
          <c:tx>
            <c:strRef>
              <c:f>Pivot!$Z$3</c:f>
              <c:strCache>
                <c:ptCount val="1"/>
                <c:pt idx="0">
                  <c:v>Average of windspeed</c:v>
                </c:pt>
              </c:strCache>
            </c:strRef>
          </c:tx>
          <c:spPr>
            <a:ln w="28575" cap="rnd">
              <a:solidFill>
                <a:schemeClr val="accent2"/>
              </a:solidFill>
              <a:round/>
            </a:ln>
            <a:effectLst/>
          </c:spPr>
          <c:marker>
            <c:symbol val="none"/>
          </c:marker>
          <c:cat>
            <c:strRef>
              <c:f>Pivot!$X$4:$X$8</c:f>
              <c:strCache>
                <c:ptCount val="4"/>
                <c:pt idx="0">
                  <c:v>Cloudy Day</c:v>
                </c:pt>
                <c:pt idx="1">
                  <c:v>Heavy Rain</c:v>
                </c:pt>
                <c:pt idx="2">
                  <c:v>Rainy Day</c:v>
                </c:pt>
                <c:pt idx="3">
                  <c:v>Sunny Day</c:v>
                </c:pt>
              </c:strCache>
            </c:strRef>
          </c:cat>
          <c:val>
            <c:numRef>
              <c:f>Pivot!$Z$4:$Z$8</c:f>
              <c:numCache>
                <c:formatCode>General</c:formatCode>
                <c:ptCount val="4"/>
                <c:pt idx="0">
                  <c:v>0.16046111111111105</c:v>
                </c:pt>
                <c:pt idx="1">
                  <c:v>0.32840000000000003</c:v>
                </c:pt>
                <c:pt idx="2">
                  <c:v>0.15364117647058823</c:v>
                </c:pt>
                <c:pt idx="3">
                  <c:v>0.18976666666666667</c:v>
                </c:pt>
              </c:numCache>
            </c:numRef>
          </c:val>
          <c:smooth val="0"/>
          <c:extLst>
            <c:ext xmlns:c16="http://schemas.microsoft.com/office/drawing/2014/chart" uri="{C3380CC4-5D6E-409C-BE32-E72D297353CC}">
              <c16:uniqueId val="{00000001-B53B-4806-84B8-0922C2D3B40B}"/>
            </c:ext>
          </c:extLst>
        </c:ser>
        <c:ser>
          <c:idx val="2"/>
          <c:order val="2"/>
          <c:tx>
            <c:strRef>
              <c:f>Pivot!$AA$3</c:f>
              <c:strCache>
                <c:ptCount val="1"/>
                <c:pt idx="0">
                  <c:v>Average of hum</c:v>
                </c:pt>
              </c:strCache>
            </c:strRef>
          </c:tx>
          <c:spPr>
            <a:ln w="28575" cap="rnd">
              <a:solidFill>
                <a:schemeClr val="accent3"/>
              </a:solidFill>
              <a:round/>
            </a:ln>
            <a:effectLst/>
          </c:spPr>
          <c:marker>
            <c:symbol val="none"/>
          </c:marker>
          <c:cat>
            <c:strRef>
              <c:f>Pivot!$X$4:$X$8</c:f>
              <c:strCache>
                <c:ptCount val="4"/>
                <c:pt idx="0">
                  <c:v>Cloudy Day</c:v>
                </c:pt>
                <c:pt idx="1">
                  <c:v>Heavy Rain</c:v>
                </c:pt>
                <c:pt idx="2">
                  <c:v>Rainy Day</c:v>
                </c:pt>
                <c:pt idx="3">
                  <c:v>Sunny Day</c:v>
                </c:pt>
              </c:strCache>
            </c:strRef>
          </c:cat>
          <c:val>
            <c:numRef>
              <c:f>Pivot!$AA$4:$AA$8</c:f>
              <c:numCache>
                <c:formatCode>General</c:formatCode>
                <c:ptCount val="4"/>
                <c:pt idx="0">
                  <c:v>0.66305555555555551</c:v>
                </c:pt>
                <c:pt idx="1">
                  <c:v>0.93</c:v>
                </c:pt>
                <c:pt idx="2">
                  <c:v>0.79588235294117649</c:v>
                </c:pt>
                <c:pt idx="3">
                  <c:v>0.6004761904761905</c:v>
                </c:pt>
              </c:numCache>
            </c:numRef>
          </c:val>
          <c:smooth val="0"/>
          <c:extLst>
            <c:ext xmlns:c16="http://schemas.microsoft.com/office/drawing/2014/chart" uri="{C3380CC4-5D6E-409C-BE32-E72D297353CC}">
              <c16:uniqueId val="{00000002-B53B-4806-84B8-0922C2D3B40B}"/>
            </c:ext>
          </c:extLst>
        </c:ser>
        <c:dLbls>
          <c:showLegendKey val="0"/>
          <c:showVal val="0"/>
          <c:showCatName val="0"/>
          <c:showSerName val="0"/>
          <c:showPercent val="0"/>
          <c:showBubbleSize val="0"/>
        </c:dLbls>
        <c:upDownBars>
          <c:gapWidth val="150"/>
          <c:upBars>
            <c:spPr>
              <a:solidFill>
                <a:schemeClr val="lt1"/>
              </a:solidFill>
              <a:ln w="0">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17663679"/>
        <c:axId val="485165615"/>
      </c:lineChart>
      <c:catAx>
        <c:axId val="10176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65615"/>
        <c:crosses val="autoZero"/>
        <c:auto val="1"/>
        <c:lblAlgn val="ctr"/>
        <c:lblOffset val="100"/>
        <c:noMultiLvlLbl val="0"/>
      </c:catAx>
      <c:valAx>
        <c:axId val="48516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663679"/>
        <c:crosses val="autoZero"/>
        <c:crossBetween val="between"/>
      </c:valAx>
      <c:spPr>
        <a:noFill/>
        <a:ln>
          <a:noFill/>
        </a:ln>
        <a:effectLst/>
      </c:spPr>
    </c:plotArea>
    <c:legend>
      <c:legendPos val="t"/>
      <c:layout>
        <c:manualLayout>
          <c:xMode val="edge"/>
          <c:yMode val="edge"/>
          <c:x val="0.12789436807687174"/>
          <c:y val="4.2372881355932202E-2"/>
          <c:w val="0.80070843898749944"/>
          <c:h val="0.41048979047110634"/>
        </c:manualLayout>
      </c:layout>
      <c:overlay val="0"/>
      <c:spP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sng" strike="noStrike" kern="1200" spc="0" baseline="0">
                <a:solidFill>
                  <a:srgbClr val="C00000"/>
                </a:solidFill>
                <a:latin typeface="+mn-lt"/>
                <a:ea typeface="+mn-ea"/>
                <a:cs typeface="+mn-cs"/>
              </a:defRPr>
            </a:pPr>
            <a:r>
              <a:rPr lang="en-US" sz="2000" b="1" u="sng">
                <a:solidFill>
                  <a:srgbClr val="C00000"/>
                </a:solidFill>
              </a:rPr>
              <a:t>Casual Riders Forecast </a:t>
            </a:r>
          </a:p>
        </c:rich>
      </c:tx>
      <c:layout>
        <c:manualLayout>
          <c:xMode val="edge"/>
          <c:yMode val="edge"/>
          <c:x val="0.30851096692228541"/>
          <c:y val="2.1727322107550243E-2"/>
        </c:manualLayout>
      </c:layout>
      <c:overlay val="0"/>
      <c:spPr>
        <a:noFill/>
        <a:ln>
          <a:noFill/>
        </a:ln>
        <a:effectLst/>
      </c:spPr>
      <c:txPr>
        <a:bodyPr rot="0" spcFirstLastPara="1" vertOverflow="ellipsis" vert="horz" wrap="square" anchor="ctr" anchorCtr="1"/>
        <a:lstStyle/>
        <a:p>
          <a:pPr algn="ctr">
            <a:defRPr sz="1400" b="1" i="0" u="sng"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5.1377969058215546E-2"/>
          <c:y val="1.9021713194941541E-2"/>
          <c:w val="0.83885620373988612"/>
          <c:h val="0.7056849711967822"/>
        </c:manualLayout>
      </c:layout>
      <c:lineChart>
        <c:grouping val="standard"/>
        <c:varyColors val="0"/>
        <c:ser>
          <c:idx val="0"/>
          <c:order val="0"/>
          <c:tx>
            <c:strRef>
              <c:f>'Casual riderforecast'!$B$1</c:f>
              <c:strCache>
                <c:ptCount val="1"/>
                <c:pt idx="0">
                  <c:v>Values</c:v>
                </c:pt>
              </c:strCache>
            </c:strRef>
          </c:tx>
          <c:spPr>
            <a:ln w="28575" cap="rnd">
              <a:solidFill>
                <a:schemeClr val="accent1"/>
              </a:solidFill>
              <a:round/>
            </a:ln>
            <a:effectLst/>
          </c:spPr>
          <c:marker>
            <c:symbol val="none"/>
          </c:marker>
          <c:val>
            <c:numRef>
              <c:f>'Casual riderforecast'!$B$2:$B$75</c:f>
              <c:numCache>
                <c:formatCode>General</c:formatCode>
                <c:ptCount val="74"/>
                <c:pt idx="0">
                  <c:v>3</c:v>
                </c:pt>
                <c:pt idx="1">
                  <c:v>4</c:v>
                </c:pt>
                <c:pt idx="2">
                  <c:v>0</c:v>
                </c:pt>
                <c:pt idx="3">
                  <c:v>0</c:v>
                </c:pt>
                <c:pt idx="4">
                  <c:v>0</c:v>
                </c:pt>
                <c:pt idx="5">
                  <c:v>0</c:v>
                </c:pt>
                <c:pt idx="6">
                  <c:v>4</c:v>
                </c:pt>
                <c:pt idx="7">
                  <c:v>1</c:v>
                </c:pt>
                <c:pt idx="8">
                  <c:v>1</c:v>
                </c:pt>
                <c:pt idx="9">
                  <c:v>2</c:v>
                </c:pt>
                <c:pt idx="10">
                  <c:v>2</c:v>
                </c:pt>
                <c:pt idx="11">
                  <c:v>0</c:v>
                </c:pt>
                <c:pt idx="12">
                  <c:v>1</c:v>
                </c:pt>
                <c:pt idx="13">
                  <c:v>0</c:v>
                </c:pt>
                <c:pt idx="14">
                  <c:v>3</c:v>
                </c:pt>
                <c:pt idx="15">
                  <c:v>6</c:v>
                </c:pt>
                <c:pt idx="16">
                  <c:v>1</c:v>
                </c:pt>
                <c:pt idx="17">
                  <c:v>0</c:v>
                </c:pt>
                <c:pt idx="18">
                  <c:v>0</c:v>
                </c:pt>
                <c:pt idx="19">
                  <c:v>5</c:v>
                </c:pt>
                <c:pt idx="20">
                  <c:v>1</c:v>
                </c:pt>
                <c:pt idx="21">
                  <c:v>0</c:v>
                </c:pt>
                <c:pt idx="22">
                  <c:v>2</c:v>
                </c:pt>
                <c:pt idx="23">
                  <c:v>0</c:v>
                </c:pt>
                <c:pt idx="24">
                  <c:v>3</c:v>
                </c:pt>
                <c:pt idx="25">
                  <c:v>3</c:v>
                </c:pt>
                <c:pt idx="26">
                  <c:v>1</c:v>
                </c:pt>
                <c:pt idx="27">
                  <c:v>0</c:v>
                </c:pt>
                <c:pt idx="28">
                  <c:v>0</c:v>
                </c:pt>
                <c:pt idx="29">
                  <c:v>0</c:v>
                </c:pt>
                <c:pt idx="30">
                  <c:v>1</c:v>
                </c:pt>
                <c:pt idx="31">
                  <c:v>2</c:v>
                </c:pt>
                <c:pt idx="32">
                  <c:v>0</c:v>
                </c:pt>
                <c:pt idx="33">
                  <c:v>1</c:v>
                </c:pt>
                <c:pt idx="34">
                  <c:v>3</c:v>
                </c:pt>
                <c:pt idx="35">
                  <c:v>3</c:v>
                </c:pt>
                <c:pt idx="36">
                  <c:v>2</c:v>
                </c:pt>
                <c:pt idx="37">
                  <c:v>1</c:v>
                </c:pt>
                <c:pt idx="38">
                  <c:v>4</c:v>
                </c:pt>
                <c:pt idx="39">
                  <c:v>0</c:v>
                </c:pt>
                <c:pt idx="40">
                  <c:v>0</c:v>
                </c:pt>
                <c:pt idx="41">
                  <c:v>2</c:v>
                </c:pt>
                <c:pt idx="42">
                  <c:v>3</c:v>
                </c:pt>
                <c:pt idx="43">
                  <c:v>5</c:v>
                </c:pt>
                <c:pt idx="44">
                  <c:v>3</c:v>
                </c:pt>
                <c:pt idx="45" formatCode="0">
                  <c:v>1.9707070707071352</c:v>
                </c:pt>
                <c:pt idx="46" formatCode="0">
                  <c:v>1.9858585858586366</c:v>
                </c:pt>
                <c:pt idx="47" formatCode="0">
                  <c:v>2.001010101010138</c:v>
                </c:pt>
                <c:pt idx="48" formatCode="0">
                  <c:v>2.0161616161616394</c:v>
                </c:pt>
                <c:pt idx="49" formatCode="0">
                  <c:v>2.0313131313132544</c:v>
                </c:pt>
                <c:pt idx="50" formatCode="0">
                  <c:v>2.0464646464647558</c:v>
                </c:pt>
                <c:pt idx="51" formatCode="0">
                  <c:v>2.0616161616162572</c:v>
                </c:pt>
                <c:pt idx="52" formatCode="0">
                  <c:v>2.0767676767677585</c:v>
                </c:pt>
                <c:pt idx="53" formatCode="0">
                  <c:v>2.0919191919192599</c:v>
                </c:pt>
                <c:pt idx="54" formatCode="0">
                  <c:v>2.1070707070707613</c:v>
                </c:pt>
                <c:pt idx="55" formatCode="0">
                  <c:v>2.1222222222222626</c:v>
                </c:pt>
                <c:pt idx="56" formatCode="0">
                  <c:v>2.137373737373764</c:v>
                </c:pt>
                <c:pt idx="57" formatCode="0">
                  <c:v>2.1525252525252654</c:v>
                </c:pt>
                <c:pt idx="58" formatCode="0">
                  <c:v>2.1676767676768804</c:v>
                </c:pt>
              </c:numCache>
            </c:numRef>
          </c:val>
          <c:smooth val="0"/>
          <c:extLst>
            <c:ext xmlns:c16="http://schemas.microsoft.com/office/drawing/2014/chart" uri="{C3380CC4-5D6E-409C-BE32-E72D297353CC}">
              <c16:uniqueId val="{00000000-26D4-4F70-950C-3963052115C6}"/>
            </c:ext>
          </c:extLst>
        </c:ser>
        <c:ser>
          <c:idx val="1"/>
          <c:order val="1"/>
          <c:tx>
            <c:strRef>
              <c:f>'Casual riderforecast'!$C$1</c:f>
              <c:strCache>
                <c:ptCount val="1"/>
                <c:pt idx="0">
                  <c:v>Forecast</c:v>
                </c:pt>
              </c:strCache>
            </c:strRef>
          </c:tx>
          <c:spPr>
            <a:ln w="25400" cap="rnd">
              <a:solidFill>
                <a:schemeClr val="accent2"/>
              </a:solidFill>
              <a:round/>
            </a:ln>
            <a:effectLst/>
          </c:spPr>
          <c:marker>
            <c:symbol val="none"/>
          </c:marker>
          <c:trendline>
            <c:spPr>
              <a:ln w="34925" cap="rnd">
                <a:solidFill>
                  <a:schemeClr val="accent2"/>
                </a:solidFill>
                <a:prstDash val="sysDot"/>
              </a:ln>
              <a:effectLst/>
            </c:spPr>
            <c:trendlineType val="linear"/>
            <c:dispRSqr val="0"/>
            <c:dispEq val="0"/>
          </c:trendline>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riderforecast'!$C$2:$C$75</c:f>
              <c:numCache>
                <c:formatCode>General</c:formatCode>
                <c:ptCount val="74"/>
                <c:pt idx="58" formatCode="0">
                  <c:v>2.1676767676768804</c:v>
                </c:pt>
                <c:pt idx="59" formatCode="0">
                  <c:v>2.1619786883420002</c:v>
                </c:pt>
                <c:pt idx="60" formatCode="0">
                  <c:v>2.1681943944576587</c:v>
                </c:pt>
                <c:pt idx="61" formatCode="0">
                  <c:v>2.1744101005733172</c:v>
                </c:pt>
                <c:pt idx="62" formatCode="0">
                  <c:v>2.1806258066889757</c:v>
                </c:pt>
                <c:pt idx="63" formatCode="0">
                  <c:v>2.1868415128046341</c:v>
                </c:pt>
                <c:pt idx="64" formatCode="0">
                  <c:v>2.1930572189202926</c:v>
                </c:pt>
                <c:pt idx="65" formatCode="0">
                  <c:v>2.1992729250359511</c:v>
                </c:pt>
                <c:pt idx="66" formatCode="0">
                  <c:v>2.2054886311516095</c:v>
                </c:pt>
                <c:pt idx="67" formatCode="0">
                  <c:v>2.211704337267268</c:v>
                </c:pt>
                <c:pt idx="68" formatCode="0">
                  <c:v>2.2179200433829265</c:v>
                </c:pt>
                <c:pt idx="69" formatCode="0">
                  <c:v>2.2241357494985849</c:v>
                </c:pt>
                <c:pt idx="70" formatCode="0">
                  <c:v>2.2303514556142434</c:v>
                </c:pt>
                <c:pt idx="71" formatCode="0">
                  <c:v>2.2365671617299019</c:v>
                </c:pt>
                <c:pt idx="72" formatCode="0">
                  <c:v>2.2427828678455604</c:v>
                </c:pt>
                <c:pt idx="73" formatCode="0">
                  <c:v>2.2489985739612188</c:v>
                </c:pt>
              </c:numCache>
            </c:numRef>
          </c:val>
          <c:smooth val="0"/>
          <c:extLst>
            <c:ext xmlns:c16="http://schemas.microsoft.com/office/drawing/2014/chart" uri="{C3380CC4-5D6E-409C-BE32-E72D297353CC}">
              <c16:uniqueId val="{00000002-26D4-4F70-950C-3963052115C6}"/>
            </c:ext>
          </c:extLst>
        </c:ser>
        <c:ser>
          <c:idx val="2"/>
          <c:order val="2"/>
          <c:tx>
            <c:strRef>
              <c:f>'Casual riderforecast'!$D$1</c:f>
              <c:strCache>
                <c:ptCount val="1"/>
                <c:pt idx="0">
                  <c:v>Lower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riderforecast'!$D$2:$D$75</c:f>
              <c:numCache>
                <c:formatCode>General</c:formatCode>
                <c:ptCount val="74"/>
                <c:pt idx="58" formatCode="0.00">
                  <c:v>2.1676767676768804</c:v>
                </c:pt>
                <c:pt idx="59" formatCode="0.00">
                  <c:v>-0.86440745019163501</c:v>
                </c:pt>
                <c:pt idx="60" formatCode="0.00">
                  <c:v>-0.88250040855776968</c:v>
                </c:pt>
                <c:pt idx="61" formatCode="0.00">
                  <c:v>-0.90078095871264674</c:v>
                </c:pt>
                <c:pt idx="62" formatCode="0.00">
                  <c:v>-0.91924760805486017</c:v>
                </c:pt>
                <c:pt idx="63" formatCode="0.00">
                  <c:v>-0.93789887771444169</c:v>
                </c:pt>
                <c:pt idx="64" formatCode="0.00">
                  <c:v>-0.95673330288517056</c:v>
                </c:pt>
                <c:pt idx="65" formatCode="0.00">
                  <c:v>-0.97574943312224161</c:v>
                </c:pt>
                <c:pt idx="66" formatCode="0.00">
                  <c:v>-0.9949458326070304</c:v>
                </c:pt>
                <c:pt idx="67" formatCode="0.00">
                  <c:v>-1.0143210803806757</c:v>
                </c:pt>
                <c:pt idx="68" formatCode="0.00">
                  <c:v>-1.0338737705481065</c:v>
                </c:pt>
                <c:pt idx="69" formatCode="0.00">
                  <c:v>-1.0536025124541299</c:v>
                </c:pt>
                <c:pt idx="70" formatCode="0.00">
                  <c:v>-1.0735059308331074</c:v>
                </c:pt>
                <c:pt idx="71" formatCode="0.00">
                  <c:v>-1.0935826659337127</c:v>
                </c:pt>
                <c:pt idx="72" formatCode="0.00">
                  <c:v>-1.1138313736202008</c:v>
                </c:pt>
                <c:pt idx="73" formatCode="0.00">
                  <c:v>-1.134250725451571</c:v>
                </c:pt>
              </c:numCache>
            </c:numRef>
          </c:val>
          <c:smooth val="0"/>
          <c:extLst>
            <c:ext xmlns:c16="http://schemas.microsoft.com/office/drawing/2014/chart" uri="{C3380CC4-5D6E-409C-BE32-E72D297353CC}">
              <c16:uniqueId val="{00000003-26D4-4F70-950C-3963052115C6}"/>
            </c:ext>
          </c:extLst>
        </c:ser>
        <c:ser>
          <c:idx val="3"/>
          <c:order val="3"/>
          <c:tx>
            <c:strRef>
              <c:f>'Casual riderforecast'!$E$1</c:f>
              <c:strCache>
                <c:ptCount val="1"/>
                <c:pt idx="0">
                  <c:v>Upper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riderforecast'!$E$2:$E$75</c:f>
              <c:numCache>
                <c:formatCode>General</c:formatCode>
                <c:ptCount val="74"/>
                <c:pt idx="58" formatCode="0.00">
                  <c:v>2.1676767676768804</c:v>
                </c:pt>
                <c:pt idx="59" formatCode="0.00">
                  <c:v>5.1883648268756355</c:v>
                </c:pt>
                <c:pt idx="60" formatCode="0.00">
                  <c:v>5.2188891974730875</c:v>
                </c:pt>
                <c:pt idx="61" formatCode="0.00">
                  <c:v>5.2496011598592816</c:v>
                </c:pt>
                <c:pt idx="62" formatCode="0.00">
                  <c:v>5.2804992214328115</c:v>
                </c:pt>
                <c:pt idx="63" formatCode="0.00">
                  <c:v>5.3115819033237095</c:v>
                </c:pt>
                <c:pt idx="64" formatCode="0.00">
                  <c:v>5.3428477407257553</c:v>
                </c:pt>
                <c:pt idx="65" formatCode="0.00">
                  <c:v>5.3742952831941437</c:v>
                </c:pt>
                <c:pt idx="66" formatCode="0.00">
                  <c:v>5.4059230949102499</c:v>
                </c:pt>
                <c:pt idx="67" formatCode="0.00">
                  <c:v>5.4377297549152122</c:v>
                </c:pt>
                <c:pt idx="68" formatCode="0.00">
                  <c:v>5.469713857313959</c:v>
                </c:pt>
                <c:pt idx="69" formatCode="0.00">
                  <c:v>5.5018740114512994</c:v>
                </c:pt>
                <c:pt idx="70" formatCode="0.00">
                  <c:v>5.5342088420615942</c:v>
                </c:pt>
                <c:pt idx="71" formatCode="0.00">
                  <c:v>5.566716989393516</c:v>
                </c:pt>
                <c:pt idx="72" formatCode="0.00">
                  <c:v>5.5993971093113215</c:v>
                </c:pt>
                <c:pt idx="73" formatCode="0.00">
                  <c:v>5.6322478733740091</c:v>
                </c:pt>
              </c:numCache>
            </c:numRef>
          </c:val>
          <c:smooth val="0"/>
          <c:extLst>
            <c:ext xmlns:c16="http://schemas.microsoft.com/office/drawing/2014/chart" uri="{C3380CC4-5D6E-409C-BE32-E72D297353CC}">
              <c16:uniqueId val="{00000004-26D4-4F70-950C-3963052115C6}"/>
            </c:ext>
          </c:extLst>
        </c:ser>
        <c:dLbls>
          <c:showLegendKey val="0"/>
          <c:showVal val="0"/>
          <c:showCatName val="0"/>
          <c:showSerName val="0"/>
          <c:showPercent val="0"/>
          <c:showBubbleSize val="0"/>
        </c:dLbls>
        <c:smooth val="0"/>
        <c:axId val="1036269119"/>
        <c:axId val="485175215"/>
      </c:lineChart>
      <c:catAx>
        <c:axId val="10362691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75215"/>
        <c:crosses val="autoZero"/>
        <c:auto val="1"/>
        <c:lblAlgn val="ctr"/>
        <c:lblOffset val="100"/>
        <c:noMultiLvlLbl val="0"/>
      </c:catAx>
      <c:valAx>
        <c:axId val="485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26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alpha val="8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r>
              <a:rPr lang="en-US" sz="2000" b="1" u="sng">
                <a:solidFill>
                  <a:srgbClr val="C00000"/>
                </a:solidFill>
              </a:rPr>
              <a:t>Registered Riders Forecast</a:t>
            </a:r>
          </a:p>
        </c:rich>
      </c:tx>
      <c:layout>
        <c:manualLayout>
          <c:xMode val="edge"/>
          <c:yMode val="edge"/>
          <c:x val="0.25955201729882177"/>
          <c:y val="3.535354941284872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endParaRPr lang="en-US"/>
        </a:p>
      </c:txPr>
    </c:title>
    <c:autoTitleDeleted val="0"/>
    <c:plotArea>
      <c:layout/>
      <c:lineChart>
        <c:grouping val="standard"/>
        <c:varyColors val="0"/>
        <c:ser>
          <c:idx val="0"/>
          <c:order val="0"/>
          <c:tx>
            <c:strRef>
              <c:f>'Registered forecast'!$B$1</c:f>
              <c:strCache>
                <c:ptCount val="1"/>
                <c:pt idx="0">
                  <c:v>Registered </c:v>
                </c:pt>
              </c:strCache>
            </c:strRef>
          </c:tx>
          <c:spPr>
            <a:ln w="28575" cap="rnd">
              <a:solidFill>
                <a:schemeClr val="accent1"/>
              </a:solidFill>
              <a:round/>
            </a:ln>
            <a:effectLst/>
          </c:spPr>
          <c:marker>
            <c:symbol val="none"/>
          </c:marker>
          <c:val>
            <c:numRef>
              <c:f>'Registered forecast'!$B$2:$B$60</c:f>
              <c:numCache>
                <c:formatCode>General</c:formatCode>
                <c:ptCount val="59"/>
                <c:pt idx="0">
                  <c:v>13</c:v>
                </c:pt>
                <c:pt idx="1">
                  <c:v>13</c:v>
                </c:pt>
                <c:pt idx="2">
                  <c:v>5</c:v>
                </c:pt>
                <c:pt idx="3">
                  <c:v>5</c:v>
                </c:pt>
                <c:pt idx="4">
                  <c:v>6</c:v>
                </c:pt>
                <c:pt idx="5">
                  <c:v>11</c:v>
                </c:pt>
                <c:pt idx="6">
                  <c:v>13</c:v>
                </c:pt>
                <c:pt idx="7">
                  <c:v>24</c:v>
                </c:pt>
                <c:pt idx="8">
                  <c:v>24</c:v>
                </c:pt>
                <c:pt idx="9">
                  <c:v>3</c:v>
                </c:pt>
                <c:pt idx="10">
                  <c:v>10</c:v>
                </c:pt>
                <c:pt idx="11">
                  <c:v>7</c:v>
                </c:pt>
                <c:pt idx="12">
                  <c:v>6</c:v>
                </c:pt>
                <c:pt idx="13">
                  <c:v>14</c:v>
                </c:pt>
                <c:pt idx="14">
                  <c:v>25</c:v>
                </c:pt>
                <c:pt idx="15">
                  <c:v>33</c:v>
                </c:pt>
                <c:pt idx="16">
                  <c:v>16</c:v>
                </c:pt>
                <c:pt idx="17">
                  <c:v>3</c:v>
                </c:pt>
                <c:pt idx="18">
                  <c:v>3</c:v>
                </c:pt>
                <c:pt idx="19">
                  <c:v>8</c:v>
                </c:pt>
                <c:pt idx="20">
                  <c:v>20</c:v>
                </c:pt>
                <c:pt idx="21">
                  <c:v>13</c:v>
                </c:pt>
                <c:pt idx="22">
                  <c:v>20</c:v>
                </c:pt>
                <c:pt idx="23">
                  <c:v>7</c:v>
                </c:pt>
                <c:pt idx="24">
                  <c:v>6</c:v>
                </c:pt>
                <c:pt idx="25">
                  <c:v>14</c:v>
                </c:pt>
                <c:pt idx="26">
                  <c:v>23</c:v>
                </c:pt>
                <c:pt idx="27">
                  <c:v>9</c:v>
                </c:pt>
                <c:pt idx="28">
                  <c:v>20</c:v>
                </c:pt>
                <c:pt idx="29">
                  <c:v>33</c:v>
                </c:pt>
                <c:pt idx="30">
                  <c:v>6</c:v>
                </c:pt>
                <c:pt idx="31">
                  <c:v>6</c:v>
                </c:pt>
                <c:pt idx="32">
                  <c:v>2</c:v>
                </c:pt>
                <c:pt idx="33">
                  <c:v>11</c:v>
                </c:pt>
                <c:pt idx="34">
                  <c:v>10</c:v>
                </c:pt>
                <c:pt idx="35">
                  <c:v>36</c:v>
                </c:pt>
                <c:pt idx="36">
                  <c:v>37</c:v>
                </c:pt>
                <c:pt idx="37">
                  <c:v>14</c:v>
                </c:pt>
                <c:pt idx="38">
                  <c:v>6</c:v>
                </c:pt>
                <c:pt idx="39">
                  <c:v>17</c:v>
                </c:pt>
                <c:pt idx="40">
                  <c:v>16</c:v>
                </c:pt>
                <c:pt idx="41">
                  <c:v>12</c:v>
                </c:pt>
                <c:pt idx="42">
                  <c:v>27</c:v>
                </c:pt>
                <c:pt idx="43">
                  <c:v>34</c:v>
                </c:pt>
                <c:pt idx="44">
                  <c:v>8</c:v>
                </c:pt>
              </c:numCache>
            </c:numRef>
          </c:val>
          <c:smooth val="0"/>
          <c:extLst>
            <c:ext xmlns:c16="http://schemas.microsoft.com/office/drawing/2014/chart" uri="{C3380CC4-5D6E-409C-BE32-E72D297353CC}">
              <c16:uniqueId val="{00000000-391A-45EE-B9CD-47F3D85E355D}"/>
            </c:ext>
          </c:extLst>
        </c:ser>
        <c:ser>
          <c:idx val="1"/>
          <c:order val="1"/>
          <c:tx>
            <c:strRef>
              <c:f>'Registered forecast'!$C$1</c:f>
              <c:strCache>
                <c:ptCount val="1"/>
                <c:pt idx="0">
                  <c:v>Forecast(Registered )</c:v>
                </c:pt>
              </c:strCache>
            </c:strRef>
          </c:tx>
          <c:spPr>
            <a:ln w="25400" cap="rnd">
              <a:solidFill>
                <a:schemeClr val="accent2"/>
              </a:solidFill>
              <a:round/>
            </a:ln>
            <a:effectLst/>
          </c:spPr>
          <c:marker>
            <c:symbol val="none"/>
          </c:marker>
          <c:trendline>
            <c:spPr>
              <a:ln w="34925" cap="rnd">
                <a:solidFill>
                  <a:schemeClr val="accent2"/>
                </a:solidFill>
                <a:prstDash val="sysDot"/>
              </a:ln>
              <a:effectLst/>
            </c:spPr>
            <c:trendlineType val="exp"/>
            <c:dispRSqr val="0"/>
            <c:dispEq val="0"/>
          </c:trendline>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forecast'!$C$2:$C$60</c:f>
              <c:numCache>
                <c:formatCode>General</c:formatCode>
                <c:ptCount val="59"/>
                <c:pt idx="44">
                  <c:v>8</c:v>
                </c:pt>
                <c:pt idx="45">
                  <c:v>12.012396504895804</c:v>
                </c:pt>
                <c:pt idx="46">
                  <c:v>11.198600753958583</c:v>
                </c:pt>
                <c:pt idx="47">
                  <c:v>14.300460387633905</c:v>
                </c:pt>
                <c:pt idx="48">
                  <c:v>21.875344435374146</c:v>
                </c:pt>
                <c:pt idx="49">
                  <c:v>27.058490646153544</c:v>
                </c:pt>
                <c:pt idx="50">
                  <c:v>31.869634578105423</c:v>
                </c:pt>
                <c:pt idx="51">
                  <c:v>15.207437759768426</c:v>
                </c:pt>
                <c:pt idx="52">
                  <c:v>13.519545329338637</c:v>
                </c:pt>
                <c:pt idx="53">
                  <c:v>12.705749578401416</c:v>
                </c:pt>
                <c:pt idx="54">
                  <c:v>15.807609212076741</c:v>
                </c:pt>
                <c:pt idx="55">
                  <c:v>23.382493259816982</c:v>
                </c:pt>
                <c:pt idx="56">
                  <c:v>28.565639470596373</c:v>
                </c:pt>
                <c:pt idx="57">
                  <c:v>33.376783402548256</c:v>
                </c:pt>
                <c:pt idx="58">
                  <c:v>16.714586584211261</c:v>
                </c:pt>
              </c:numCache>
            </c:numRef>
          </c:val>
          <c:smooth val="0"/>
          <c:extLst>
            <c:ext xmlns:c16="http://schemas.microsoft.com/office/drawing/2014/chart" uri="{C3380CC4-5D6E-409C-BE32-E72D297353CC}">
              <c16:uniqueId val="{00000002-391A-45EE-B9CD-47F3D85E355D}"/>
            </c:ext>
          </c:extLst>
        </c:ser>
        <c:ser>
          <c:idx val="2"/>
          <c:order val="2"/>
          <c:tx>
            <c:strRef>
              <c:f>'Registered forecast'!$D$1</c:f>
              <c:strCache>
                <c:ptCount val="1"/>
                <c:pt idx="0">
                  <c:v>Lower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forecast'!$D$2:$D$60</c:f>
              <c:numCache>
                <c:formatCode>General</c:formatCode>
                <c:ptCount val="59"/>
                <c:pt idx="44" formatCode="0.00">
                  <c:v>8</c:v>
                </c:pt>
                <c:pt idx="45" formatCode="0.00">
                  <c:v>0.19943266376622226</c:v>
                </c:pt>
                <c:pt idx="46" formatCode="0.00">
                  <c:v>-0.70924766613907053</c:v>
                </c:pt>
                <c:pt idx="47" formatCode="0.00">
                  <c:v>2.2969951571489649</c:v>
                </c:pt>
                <c:pt idx="48" formatCode="0.00">
                  <c:v>9.7755359891887057</c:v>
                </c:pt>
                <c:pt idx="49" formatCode="0.00">
                  <c:v>14.861618351462148</c:v>
                </c:pt>
                <c:pt idx="50" formatCode="0.00">
                  <c:v>19.574983519715019</c:v>
                </c:pt>
                <c:pt idx="51" formatCode="0.00">
                  <c:v>2.8142986840411091</c:v>
                </c:pt>
                <c:pt idx="52" formatCode="0.00">
                  <c:v>1.0257234086417899</c:v>
                </c:pt>
                <c:pt idx="53" formatCode="0.00">
                  <c:v>0.11204971609523362</c:v>
                </c:pt>
                <c:pt idx="54" formatCode="0.00">
                  <c:v>3.1133386870534938</c:v>
                </c:pt>
                <c:pt idx="55" formatCode="0.00">
                  <c:v>10.58696477912561</c:v>
                </c:pt>
                <c:pt idx="56" formatCode="0.00">
                  <c:v>15.66817110943299</c:v>
                </c:pt>
                <c:pt idx="57" formatCode="0.00">
                  <c:v>20.376698543756653</c:v>
                </c:pt>
                <c:pt idx="58" formatCode="0.00">
                  <c:v>3.6112138573851613</c:v>
                </c:pt>
              </c:numCache>
            </c:numRef>
          </c:val>
          <c:smooth val="0"/>
          <c:extLst>
            <c:ext xmlns:c16="http://schemas.microsoft.com/office/drawing/2014/chart" uri="{C3380CC4-5D6E-409C-BE32-E72D297353CC}">
              <c16:uniqueId val="{00000003-391A-45EE-B9CD-47F3D85E355D}"/>
            </c:ext>
          </c:extLst>
        </c:ser>
        <c:ser>
          <c:idx val="3"/>
          <c:order val="3"/>
          <c:tx>
            <c:strRef>
              <c:f>'Registered forecast'!$E$1</c:f>
              <c:strCache>
                <c:ptCount val="1"/>
                <c:pt idx="0">
                  <c:v>Upper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forecast'!$E$2:$E$60</c:f>
              <c:numCache>
                <c:formatCode>General</c:formatCode>
                <c:ptCount val="59"/>
                <c:pt idx="44" formatCode="0.00">
                  <c:v>8</c:v>
                </c:pt>
                <c:pt idx="45" formatCode="0.00">
                  <c:v>23.825360346025384</c:v>
                </c:pt>
                <c:pt idx="46" formatCode="0.00">
                  <c:v>23.106449174056237</c:v>
                </c:pt>
                <c:pt idx="47" formatCode="0.00">
                  <c:v>26.303925618118846</c:v>
                </c:pt>
                <c:pt idx="48" formatCode="0.00">
                  <c:v>33.975152881559588</c:v>
                </c:pt>
                <c:pt idx="49" formatCode="0.00">
                  <c:v>39.25536294084494</c:v>
                </c:pt>
                <c:pt idx="50" formatCode="0.00">
                  <c:v>44.164285636495826</c:v>
                </c:pt>
                <c:pt idx="51" formatCode="0.00">
                  <c:v>27.600576835495744</c:v>
                </c:pt>
                <c:pt idx="52" formatCode="0.00">
                  <c:v>26.013367250035486</c:v>
                </c:pt>
                <c:pt idx="53" formatCode="0.00">
                  <c:v>25.299449440707598</c:v>
                </c:pt>
                <c:pt idx="54" formatCode="0.00">
                  <c:v>28.501879737099991</c:v>
                </c:pt>
                <c:pt idx="55" formatCode="0.00">
                  <c:v>36.178021740508356</c:v>
                </c:pt>
                <c:pt idx="56" formatCode="0.00">
                  <c:v>41.463107831759757</c:v>
                </c:pt>
                <c:pt idx="57" formatCode="0.00">
                  <c:v>46.376868261339858</c:v>
                </c:pt>
                <c:pt idx="58" formatCode="0.00">
                  <c:v>29.817959311037363</c:v>
                </c:pt>
              </c:numCache>
            </c:numRef>
          </c:val>
          <c:smooth val="0"/>
          <c:extLst>
            <c:ext xmlns:c16="http://schemas.microsoft.com/office/drawing/2014/chart" uri="{C3380CC4-5D6E-409C-BE32-E72D297353CC}">
              <c16:uniqueId val="{00000004-391A-45EE-B9CD-47F3D85E355D}"/>
            </c:ext>
          </c:extLst>
        </c:ser>
        <c:dLbls>
          <c:showLegendKey val="0"/>
          <c:showVal val="0"/>
          <c:showCatName val="0"/>
          <c:showSerName val="0"/>
          <c:showPercent val="0"/>
          <c:showBubbleSize val="0"/>
        </c:dLbls>
        <c:smooth val="0"/>
        <c:axId val="1036391615"/>
        <c:axId val="1140895983"/>
      </c:lineChart>
      <c:catAx>
        <c:axId val="103639161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895983"/>
        <c:crosses val="autoZero"/>
        <c:auto val="1"/>
        <c:lblAlgn val="ctr"/>
        <c:lblOffset val="100"/>
        <c:noMultiLvlLbl val="0"/>
      </c:catAx>
      <c:valAx>
        <c:axId val="11408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391615"/>
        <c:crosses val="autoZero"/>
        <c:crossBetween val="between"/>
      </c:valAx>
      <c:spPr>
        <a:noFill/>
        <a:ln>
          <a:noFill/>
        </a:ln>
        <a:effectLst/>
      </c:spPr>
    </c:plotArea>
    <c:legend>
      <c:legendPos val="b"/>
      <c:layout>
        <c:manualLayout>
          <c:xMode val="edge"/>
          <c:yMode val="edge"/>
          <c:x val="3.6913530980034241E-2"/>
          <c:y val="0.67444829236200066"/>
          <c:w val="0.88804635377454266"/>
          <c:h val="0.303573679320953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r>
              <a:rPr lang="en-US" sz="2000" b="1" u="sng" baseline="0">
                <a:solidFill>
                  <a:srgbClr val="C00000"/>
                </a:solidFill>
              </a:rPr>
              <a:t>Anomaly Detection</a:t>
            </a:r>
            <a:endParaRPr lang="en-US" sz="2000" b="1" u="sng">
              <a:solidFill>
                <a:srgbClr val="C00000"/>
              </a:solidFill>
            </a:endParaRPr>
          </a:p>
        </c:rich>
      </c:tx>
      <c:layout>
        <c:manualLayout>
          <c:xMode val="edge"/>
          <c:yMode val="edge"/>
          <c:x val="0.36709539121114682"/>
          <c:y val="7.4906367041198503E-3"/>
        </c:manualLayout>
      </c:layout>
      <c:overlay val="0"/>
      <c:spPr>
        <a:noFill/>
        <a:ln>
          <a:noFill/>
        </a:ln>
        <a:effectLst/>
      </c:spPr>
      <c:txPr>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3.1523491235621273E-2"/>
          <c:y val="9.3970037453183539E-2"/>
          <c:w val="0.93787629440210651"/>
          <c:h val="0.77420124450735794"/>
        </c:manualLayout>
      </c:layout>
      <c:scatterChart>
        <c:scatterStyle val="lineMarker"/>
        <c:varyColors val="0"/>
        <c:ser>
          <c:idx val="0"/>
          <c:order val="0"/>
          <c:tx>
            <c:strRef>
              <c:f>Outlier!$N$1</c:f>
              <c:strCache>
                <c:ptCount val="1"/>
                <c:pt idx="0">
                  <c:v>temp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Outlier!$N$2:$N$97</c:f>
            </c:numRef>
          </c:yVal>
          <c:smooth val="0"/>
          <c:extLst>
            <c:ext xmlns:c16="http://schemas.microsoft.com/office/drawing/2014/chart" uri="{C3380CC4-5D6E-409C-BE32-E72D297353CC}">
              <c16:uniqueId val="{00000000-518D-4379-9AD6-98B04C778C08}"/>
            </c:ext>
          </c:extLst>
        </c:ser>
        <c:ser>
          <c:idx val="1"/>
          <c:order val="1"/>
          <c:tx>
            <c:strRef>
              <c:f>Outlier!$O$1</c:f>
              <c:strCache>
                <c:ptCount val="1"/>
                <c:pt idx="0">
                  <c:v>atemp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Outlier!$O$2:$O$97</c:f>
            </c:numRef>
          </c:yVal>
          <c:smooth val="0"/>
          <c:extLst>
            <c:ext xmlns:c16="http://schemas.microsoft.com/office/drawing/2014/chart" uri="{C3380CC4-5D6E-409C-BE32-E72D297353CC}">
              <c16:uniqueId val="{00000001-518D-4379-9AD6-98B04C778C08}"/>
            </c:ext>
          </c:extLst>
        </c:ser>
        <c:ser>
          <c:idx val="2"/>
          <c:order val="2"/>
          <c:tx>
            <c:strRef>
              <c:f>Outlier!$P$1</c:f>
              <c:strCache>
                <c:ptCount val="1"/>
                <c:pt idx="0">
                  <c:v>hum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Outlier!$P$2:$P$97</c:f>
            </c:numRef>
          </c:yVal>
          <c:smooth val="0"/>
          <c:extLst>
            <c:ext xmlns:c16="http://schemas.microsoft.com/office/drawing/2014/chart" uri="{C3380CC4-5D6E-409C-BE32-E72D297353CC}">
              <c16:uniqueId val="{00000002-518D-4379-9AD6-98B04C778C08}"/>
            </c:ext>
          </c:extLst>
        </c:ser>
        <c:ser>
          <c:idx val="3"/>
          <c:order val="3"/>
          <c:tx>
            <c:strRef>
              <c:f>Outlier!$Q$1</c:f>
              <c:strCache>
                <c:ptCount val="1"/>
                <c:pt idx="0">
                  <c:v>windspeed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Outlier!$Q$2:$Q$97</c:f>
            </c:numRef>
          </c:yVal>
          <c:smooth val="0"/>
          <c:extLst>
            <c:ext xmlns:c16="http://schemas.microsoft.com/office/drawing/2014/chart" uri="{C3380CC4-5D6E-409C-BE32-E72D297353CC}">
              <c16:uniqueId val="{00000003-518D-4379-9AD6-98B04C778C08}"/>
            </c:ext>
          </c:extLst>
        </c:ser>
        <c:ser>
          <c:idx val="4"/>
          <c:order val="4"/>
          <c:tx>
            <c:strRef>
              <c:f>Outlier!$R$1</c:f>
              <c:strCache>
                <c:ptCount val="1"/>
                <c:pt idx="0">
                  <c:v>casual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Outlier!$R$2:$R$97</c:f>
            </c:numRef>
          </c:yVal>
          <c:smooth val="0"/>
          <c:extLst>
            <c:ext xmlns:c16="http://schemas.microsoft.com/office/drawing/2014/chart" uri="{C3380CC4-5D6E-409C-BE32-E72D297353CC}">
              <c16:uniqueId val="{00000004-518D-4379-9AD6-98B04C778C08}"/>
            </c:ext>
          </c:extLst>
        </c:ser>
        <c:ser>
          <c:idx val="5"/>
          <c:order val="5"/>
          <c:tx>
            <c:strRef>
              <c:f>Outlier!$S$1</c:f>
              <c:strCache>
                <c:ptCount val="1"/>
                <c:pt idx="0">
                  <c:v>registered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Outlier!$S$2:$S$97</c:f>
            </c:numRef>
          </c:yVal>
          <c:smooth val="0"/>
          <c:extLst>
            <c:ext xmlns:c16="http://schemas.microsoft.com/office/drawing/2014/chart" uri="{C3380CC4-5D6E-409C-BE32-E72D297353CC}">
              <c16:uniqueId val="{00000005-518D-4379-9AD6-98B04C778C08}"/>
            </c:ext>
          </c:extLst>
        </c:ser>
        <c:ser>
          <c:idx val="6"/>
          <c:order val="6"/>
          <c:tx>
            <c:strRef>
              <c:f>Outlier!$T$1</c:f>
              <c:strCache>
                <c:ptCount val="1"/>
                <c:pt idx="0">
                  <c:v>Total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dLbl>
              <c:idx val="17"/>
              <c:tx>
                <c:rich>
                  <a:bodyPr/>
                  <a:lstStyle/>
                  <a:p>
                    <a:fld id="{483F499F-8722-4BEC-9FE8-C613D64A1CA8}"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18D-4379-9AD6-98B04C778C08}"/>
                </c:ext>
              </c:extLst>
            </c:dLbl>
            <c:dLbl>
              <c:idx val="20"/>
              <c:tx>
                <c:rich>
                  <a:bodyPr/>
                  <a:lstStyle/>
                  <a:p>
                    <a:fld id="{0644C476-DBBE-44C8-BE9A-EB5C796D9F89}"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18D-4379-9AD6-98B04C778C08}"/>
                </c:ext>
              </c:extLst>
            </c:dLbl>
            <c:dLbl>
              <c:idx val="23"/>
              <c:tx>
                <c:rich>
                  <a:bodyPr/>
                  <a:lstStyle/>
                  <a:p>
                    <a:fld id="{8C260BDE-444A-46F5-AF45-D7C060DC272A}"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518D-4379-9AD6-98B04C778C08}"/>
                </c:ext>
              </c:extLst>
            </c:dLbl>
            <c:dLbl>
              <c:idx val="42"/>
              <c:tx>
                <c:rich>
                  <a:bodyPr/>
                  <a:lstStyle/>
                  <a:p>
                    <a:fld id="{69E95225-4B93-444D-A338-0A217E23D430}"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18D-4379-9AD6-98B04C778C08}"/>
                </c:ext>
              </c:extLst>
            </c:dLbl>
            <c:dLbl>
              <c:idx val="59"/>
              <c:tx>
                <c:rich>
                  <a:bodyPr/>
                  <a:lstStyle/>
                  <a:p>
                    <a:fld id="{244BC2A9-8042-477A-A122-97F6E08B1A91}"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518D-4379-9AD6-98B04C778C08}"/>
                </c:ext>
              </c:extLst>
            </c:dLbl>
            <c:dLbl>
              <c:idx val="70"/>
              <c:tx>
                <c:rich>
                  <a:bodyPr/>
                  <a:lstStyle/>
                  <a:p>
                    <a:fld id="{74E2E2BF-A7D0-42A4-AF2F-E83CCE90158E}"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18D-4379-9AD6-98B04C778C08}"/>
                </c:ext>
              </c:extLst>
            </c:dLbl>
            <c:dLbl>
              <c:idx val="80"/>
              <c:tx>
                <c:rich>
                  <a:bodyPr/>
                  <a:lstStyle/>
                  <a:p>
                    <a:fld id="{3387520B-B0FD-4935-91D8-7AC75C932BFB}"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518D-4379-9AD6-98B04C778C08}"/>
                </c:ext>
              </c:extLst>
            </c:dLbl>
            <c:dLbl>
              <c:idx val="86"/>
              <c:tx>
                <c:rich>
                  <a:bodyPr/>
                  <a:lstStyle/>
                  <a:p>
                    <a:fld id="{26F5D62B-93D7-4EE0-A4BB-6F7587B47A2D}"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518D-4379-9AD6-98B04C778C08}"/>
                </c:ext>
              </c:extLst>
            </c:dLbl>
            <c:dLbl>
              <c:idx val="89"/>
              <c:tx>
                <c:rich>
                  <a:bodyPr/>
                  <a:lstStyle/>
                  <a:p>
                    <a:fld id="{3F4E4DEA-7F70-4447-968E-514EDC39D7A0}"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518D-4379-9AD6-98B04C778C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poly"/>
            <c:order val="6"/>
            <c:forward val="2"/>
            <c:dispRSqr val="1"/>
            <c:dispEq val="0"/>
            <c:trendlineLbl>
              <c:layout>
                <c:manualLayout>
                  <c:x val="-0.63161210556075986"/>
                  <c:y val="-0.67867468813589316"/>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rendlineLbl>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Outlier!$T$2:$T$97</c:f>
              <c:numCache>
                <c:formatCode>General</c:formatCode>
                <c:ptCount val="96"/>
                <c:pt idx="0">
                  <c:v>16</c:v>
                </c:pt>
                <c:pt idx="1">
                  <c:v>1</c:v>
                </c:pt>
                <c:pt idx="2">
                  <c:v>35</c:v>
                </c:pt>
                <c:pt idx="3">
                  <c:v>17</c:v>
                </c:pt>
                <c:pt idx="4">
                  <c:v>2</c:v>
                </c:pt>
                <c:pt idx="5">
                  <c:v>65</c:v>
                </c:pt>
                <c:pt idx="6">
                  <c:v>5</c:v>
                </c:pt>
                <c:pt idx="7">
                  <c:v>5</c:v>
                </c:pt>
                <c:pt idx="8">
                  <c:v>42</c:v>
                </c:pt>
                <c:pt idx="9">
                  <c:v>6</c:v>
                </c:pt>
                <c:pt idx="10">
                  <c:v>11</c:v>
                </c:pt>
                <c:pt idx="11">
                  <c:v>1</c:v>
                </c:pt>
                <c:pt idx="12">
                  <c:v>17</c:v>
                </c:pt>
                <c:pt idx="13">
                  <c:v>5</c:v>
                </c:pt>
                <c:pt idx="14">
                  <c:v>84</c:v>
                </c:pt>
                <c:pt idx="15">
                  <c:v>25</c:v>
                </c:pt>
                <c:pt idx="16">
                  <c:v>7</c:v>
                </c:pt>
                <c:pt idx="17">
                  <c:v>102</c:v>
                </c:pt>
                <c:pt idx="18">
                  <c:v>25</c:v>
                </c:pt>
                <c:pt idx="19">
                  <c:v>5</c:v>
                </c:pt>
                <c:pt idx="20">
                  <c:v>188</c:v>
                </c:pt>
                <c:pt idx="21">
                  <c:v>12</c:v>
                </c:pt>
                <c:pt idx="22">
                  <c:v>3</c:v>
                </c:pt>
                <c:pt idx="23">
                  <c:v>95</c:v>
                </c:pt>
                <c:pt idx="24">
                  <c:v>7</c:v>
                </c:pt>
                <c:pt idx="25">
                  <c:v>1</c:v>
                </c:pt>
                <c:pt idx="26">
                  <c:v>7</c:v>
                </c:pt>
                <c:pt idx="27">
                  <c:v>38</c:v>
                </c:pt>
                <c:pt idx="28">
                  <c:v>14</c:v>
                </c:pt>
                <c:pt idx="29">
                  <c:v>36</c:v>
                </c:pt>
                <c:pt idx="30">
                  <c:v>28</c:v>
                </c:pt>
                <c:pt idx="31">
                  <c:v>20</c:v>
                </c:pt>
                <c:pt idx="32">
                  <c:v>39</c:v>
                </c:pt>
                <c:pt idx="33">
                  <c:v>2</c:v>
                </c:pt>
                <c:pt idx="34">
                  <c:v>17</c:v>
                </c:pt>
                <c:pt idx="35">
                  <c:v>71</c:v>
                </c:pt>
                <c:pt idx="36">
                  <c:v>60</c:v>
                </c:pt>
                <c:pt idx="37">
                  <c:v>3</c:v>
                </c:pt>
                <c:pt idx="38">
                  <c:v>3</c:v>
                </c:pt>
                <c:pt idx="39">
                  <c:v>7</c:v>
                </c:pt>
                <c:pt idx="40">
                  <c:v>78</c:v>
                </c:pt>
                <c:pt idx="41">
                  <c:v>13</c:v>
                </c:pt>
                <c:pt idx="42">
                  <c:v>143</c:v>
                </c:pt>
                <c:pt idx="43">
                  <c:v>21</c:v>
                </c:pt>
                <c:pt idx="44">
                  <c:v>2</c:v>
                </c:pt>
                <c:pt idx="45">
                  <c:v>5</c:v>
                </c:pt>
                <c:pt idx="46">
                  <c:v>13</c:v>
                </c:pt>
                <c:pt idx="47">
                  <c:v>12</c:v>
                </c:pt>
                <c:pt idx="48">
                  <c:v>22</c:v>
                </c:pt>
                <c:pt idx="49">
                  <c:v>3</c:v>
                </c:pt>
                <c:pt idx="50">
                  <c:v>7</c:v>
                </c:pt>
                <c:pt idx="51">
                  <c:v>63</c:v>
                </c:pt>
                <c:pt idx="52">
                  <c:v>9</c:v>
                </c:pt>
                <c:pt idx="53">
                  <c:v>2</c:v>
                </c:pt>
                <c:pt idx="54">
                  <c:v>17</c:v>
                </c:pt>
                <c:pt idx="55">
                  <c:v>10</c:v>
                </c:pt>
                <c:pt idx="56">
                  <c:v>36</c:v>
                </c:pt>
                <c:pt idx="57">
                  <c:v>24</c:v>
                </c:pt>
                <c:pt idx="58">
                  <c:v>9</c:v>
                </c:pt>
                <c:pt idx="59">
                  <c:v>101</c:v>
                </c:pt>
                <c:pt idx="60">
                  <c:v>20</c:v>
                </c:pt>
                <c:pt idx="61">
                  <c:v>55</c:v>
                </c:pt>
                <c:pt idx="62">
                  <c:v>33</c:v>
                </c:pt>
                <c:pt idx="63">
                  <c:v>12</c:v>
                </c:pt>
                <c:pt idx="64">
                  <c:v>7</c:v>
                </c:pt>
                <c:pt idx="65">
                  <c:v>7</c:v>
                </c:pt>
                <c:pt idx="66">
                  <c:v>78</c:v>
                </c:pt>
                <c:pt idx="67">
                  <c:v>8</c:v>
                </c:pt>
                <c:pt idx="68">
                  <c:v>3</c:v>
                </c:pt>
                <c:pt idx="69">
                  <c:v>2</c:v>
                </c:pt>
                <c:pt idx="70">
                  <c:v>123</c:v>
                </c:pt>
                <c:pt idx="71">
                  <c:v>75</c:v>
                </c:pt>
                <c:pt idx="72">
                  <c:v>12</c:v>
                </c:pt>
                <c:pt idx="73">
                  <c:v>13</c:v>
                </c:pt>
                <c:pt idx="74">
                  <c:v>87</c:v>
                </c:pt>
                <c:pt idx="75">
                  <c:v>39</c:v>
                </c:pt>
                <c:pt idx="76">
                  <c:v>8</c:v>
                </c:pt>
                <c:pt idx="77">
                  <c:v>69</c:v>
                </c:pt>
                <c:pt idx="78">
                  <c:v>39</c:v>
                </c:pt>
                <c:pt idx="79">
                  <c:v>15</c:v>
                </c:pt>
                <c:pt idx="80">
                  <c:v>230</c:v>
                </c:pt>
                <c:pt idx="81">
                  <c:v>10</c:v>
                </c:pt>
                <c:pt idx="82">
                  <c:v>1</c:v>
                </c:pt>
                <c:pt idx="83">
                  <c:v>3</c:v>
                </c:pt>
                <c:pt idx="84">
                  <c:v>17</c:v>
                </c:pt>
                <c:pt idx="85">
                  <c:v>41</c:v>
                </c:pt>
                <c:pt idx="86">
                  <c:v>88</c:v>
                </c:pt>
                <c:pt idx="87">
                  <c:v>16</c:v>
                </c:pt>
                <c:pt idx="88">
                  <c:v>1</c:v>
                </c:pt>
                <c:pt idx="89">
                  <c:v>99</c:v>
                </c:pt>
                <c:pt idx="90">
                  <c:v>14</c:v>
                </c:pt>
                <c:pt idx="91">
                  <c:v>30</c:v>
                </c:pt>
                <c:pt idx="92">
                  <c:v>39</c:v>
                </c:pt>
                <c:pt idx="93">
                  <c:v>20</c:v>
                </c:pt>
                <c:pt idx="94">
                  <c:v>11</c:v>
                </c:pt>
                <c:pt idx="95">
                  <c:v>80</c:v>
                </c:pt>
              </c:numCache>
            </c:numRef>
          </c:yVal>
          <c:smooth val="0"/>
          <c:extLst>
            <c:ext xmlns:c16="http://schemas.microsoft.com/office/drawing/2014/chart" uri="{C3380CC4-5D6E-409C-BE32-E72D297353CC}">
              <c16:uniqueId val="{0000001B-518D-4379-9AD6-98B04C778C08}"/>
            </c:ext>
          </c:extLst>
        </c:ser>
        <c:dLbls>
          <c:dLblPos val="t"/>
          <c:showLegendKey val="0"/>
          <c:showVal val="1"/>
          <c:showCatName val="0"/>
          <c:showSerName val="0"/>
          <c:showPercent val="0"/>
          <c:showBubbleSize val="0"/>
        </c:dLbls>
        <c:axId val="1172049103"/>
        <c:axId val="1140880623"/>
      </c:scatterChart>
      <c:valAx>
        <c:axId val="1172049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0880623"/>
        <c:crosses val="autoZero"/>
        <c:crossBetween val="midCat"/>
      </c:valAx>
      <c:valAx>
        <c:axId val="114088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2049103"/>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Outlier</a:t>
            </a:r>
            <a:r>
              <a:rPr lang="en-US" baseline="0"/>
              <a:t> (Anamoly Detection)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Outlier!$N$1</c:f>
              <c:strCache>
                <c:ptCount val="1"/>
                <c:pt idx="0">
                  <c:v>temp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Outlier!$N$2:$N$97</c:f>
            </c:numRef>
          </c:yVal>
          <c:smooth val="0"/>
          <c:extLst>
            <c:ext xmlns:c16="http://schemas.microsoft.com/office/drawing/2014/chart" uri="{C3380CC4-5D6E-409C-BE32-E72D297353CC}">
              <c16:uniqueId val="{00000000-4B57-4CBB-93DB-25C2F2BBF862}"/>
            </c:ext>
          </c:extLst>
        </c:ser>
        <c:ser>
          <c:idx val="1"/>
          <c:order val="1"/>
          <c:tx>
            <c:strRef>
              <c:f>Outlier!$O$1</c:f>
              <c:strCache>
                <c:ptCount val="1"/>
                <c:pt idx="0">
                  <c:v>atemp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Outlier!$O$2:$O$97</c:f>
            </c:numRef>
          </c:yVal>
          <c:smooth val="0"/>
          <c:extLst>
            <c:ext xmlns:c16="http://schemas.microsoft.com/office/drawing/2014/chart" uri="{C3380CC4-5D6E-409C-BE32-E72D297353CC}">
              <c16:uniqueId val="{00000001-4B57-4CBB-93DB-25C2F2BBF862}"/>
            </c:ext>
          </c:extLst>
        </c:ser>
        <c:ser>
          <c:idx val="2"/>
          <c:order val="2"/>
          <c:tx>
            <c:strRef>
              <c:f>Outlier!$P$1</c:f>
              <c:strCache>
                <c:ptCount val="1"/>
                <c:pt idx="0">
                  <c:v>hum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Outlier!$P$2:$P$97</c:f>
            </c:numRef>
          </c:yVal>
          <c:smooth val="0"/>
          <c:extLst>
            <c:ext xmlns:c16="http://schemas.microsoft.com/office/drawing/2014/chart" uri="{C3380CC4-5D6E-409C-BE32-E72D297353CC}">
              <c16:uniqueId val="{00000002-4B57-4CBB-93DB-25C2F2BBF862}"/>
            </c:ext>
          </c:extLst>
        </c:ser>
        <c:ser>
          <c:idx val="3"/>
          <c:order val="3"/>
          <c:tx>
            <c:strRef>
              <c:f>Outlier!$Q$1</c:f>
              <c:strCache>
                <c:ptCount val="1"/>
                <c:pt idx="0">
                  <c:v>windspeed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Outlier!$Q$2:$Q$97</c:f>
            </c:numRef>
          </c:yVal>
          <c:smooth val="0"/>
          <c:extLst>
            <c:ext xmlns:c16="http://schemas.microsoft.com/office/drawing/2014/chart" uri="{C3380CC4-5D6E-409C-BE32-E72D297353CC}">
              <c16:uniqueId val="{00000003-4B57-4CBB-93DB-25C2F2BBF862}"/>
            </c:ext>
          </c:extLst>
        </c:ser>
        <c:ser>
          <c:idx val="4"/>
          <c:order val="4"/>
          <c:tx>
            <c:strRef>
              <c:f>Outlier!$R$1</c:f>
              <c:strCache>
                <c:ptCount val="1"/>
                <c:pt idx="0">
                  <c:v>casual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Outlier!$R$2:$R$97</c:f>
            </c:numRef>
          </c:yVal>
          <c:smooth val="0"/>
          <c:extLst>
            <c:ext xmlns:c16="http://schemas.microsoft.com/office/drawing/2014/chart" uri="{C3380CC4-5D6E-409C-BE32-E72D297353CC}">
              <c16:uniqueId val="{00000004-4B57-4CBB-93DB-25C2F2BBF862}"/>
            </c:ext>
          </c:extLst>
        </c:ser>
        <c:ser>
          <c:idx val="5"/>
          <c:order val="5"/>
          <c:tx>
            <c:strRef>
              <c:f>Outlier!$S$1</c:f>
              <c:strCache>
                <c:ptCount val="1"/>
                <c:pt idx="0">
                  <c:v>registered</c:v>
                </c:pt>
              </c:strCache>
            </c:strRef>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Outlier!$S$2:$S$97</c:f>
            </c:numRef>
          </c:yVal>
          <c:smooth val="0"/>
          <c:extLst>
            <c:ext xmlns:c16="http://schemas.microsoft.com/office/drawing/2014/chart" uri="{C3380CC4-5D6E-409C-BE32-E72D297353CC}">
              <c16:uniqueId val="{00000005-4B57-4CBB-93DB-25C2F2BBF862}"/>
            </c:ext>
          </c:extLst>
        </c:ser>
        <c:ser>
          <c:idx val="6"/>
          <c:order val="6"/>
          <c:tx>
            <c:strRef>
              <c:f>Outlier!$T$1</c:f>
              <c:strCache>
                <c:ptCount val="1"/>
                <c:pt idx="0">
                  <c:v>Total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poly"/>
            <c:order val="6"/>
            <c:forward val="2"/>
            <c:dispRSqr val="1"/>
            <c:dispEq val="0"/>
            <c:trendlineLbl>
              <c:layout>
                <c:manualLayout>
                  <c:x val="9.685826771653544E-2"/>
                  <c:y val="-0.775167183224437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Outlier!$T$2:$T$97</c:f>
              <c:numCache>
                <c:formatCode>General</c:formatCode>
                <c:ptCount val="96"/>
                <c:pt idx="0">
                  <c:v>16</c:v>
                </c:pt>
                <c:pt idx="1">
                  <c:v>1</c:v>
                </c:pt>
                <c:pt idx="2">
                  <c:v>35</c:v>
                </c:pt>
                <c:pt idx="3">
                  <c:v>17</c:v>
                </c:pt>
                <c:pt idx="4">
                  <c:v>2</c:v>
                </c:pt>
                <c:pt idx="5">
                  <c:v>65</c:v>
                </c:pt>
                <c:pt idx="6">
                  <c:v>5</c:v>
                </c:pt>
                <c:pt idx="7">
                  <c:v>5</c:v>
                </c:pt>
                <c:pt idx="8">
                  <c:v>42</c:v>
                </c:pt>
                <c:pt idx="9">
                  <c:v>6</c:v>
                </c:pt>
                <c:pt idx="10">
                  <c:v>11</c:v>
                </c:pt>
                <c:pt idx="11">
                  <c:v>1</c:v>
                </c:pt>
                <c:pt idx="12">
                  <c:v>17</c:v>
                </c:pt>
                <c:pt idx="13">
                  <c:v>5</c:v>
                </c:pt>
                <c:pt idx="14">
                  <c:v>84</c:v>
                </c:pt>
                <c:pt idx="15">
                  <c:v>25</c:v>
                </c:pt>
                <c:pt idx="16">
                  <c:v>7</c:v>
                </c:pt>
                <c:pt idx="17">
                  <c:v>102</c:v>
                </c:pt>
                <c:pt idx="18">
                  <c:v>25</c:v>
                </c:pt>
                <c:pt idx="19">
                  <c:v>5</c:v>
                </c:pt>
                <c:pt idx="20">
                  <c:v>188</c:v>
                </c:pt>
                <c:pt idx="21">
                  <c:v>12</c:v>
                </c:pt>
                <c:pt idx="22">
                  <c:v>3</c:v>
                </c:pt>
                <c:pt idx="23">
                  <c:v>95</c:v>
                </c:pt>
                <c:pt idx="24">
                  <c:v>7</c:v>
                </c:pt>
                <c:pt idx="25">
                  <c:v>1</c:v>
                </c:pt>
                <c:pt idx="26">
                  <c:v>7</c:v>
                </c:pt>
                <c:pt idx="27">
                  <c:v>38</c:v>
                </c:pt>
                <c:pt idx="28">
                  <c:v>14</c:v>
                </c:pt>
                <c:pt idx="29">
                  <c:v>36</c:v>
                </c:pt>
                <c:pt idx="30">
                  <c:v>28</c:v>
                </c:pt>
                <c:pt idx="31">
                  <c:v>20</c:v>
                </c:pt>
                <c:pt idx="32">
                  <c:v>39</c:v>
                </c:pt>
                <c:pt idx="33">
                  <c:v>2</c:v>
                </c:pt>
                <c:pt idx="34">
                  <c:v>17</c:v>
                </c:pt>
                <c:pt idx="35">
                  <c:v>71</c:v>
                </c:pt>
                <c:pt idx="36">
                  <c:v>60</c:v>
                </c:pt>
                <c:pt idx="37">
                  <c:v>3</c:v>
                </c:pt>
                <c:pt idx="38">
                  <c:v>3</c:v>
                </c:pt>
                <c:pt idx="39">
                  <c:v>7</c:v>
                </c:pt>
                <c:pt idx="40">
                  <c:v>78</c:v>
                </c:pt>
                <c:pt idx="41">
                  <c:v>13</c:v>
                </c:pt>
                <c:pt idx="42">
                  <c:v>143</c:v>
                </c:pt>
                <c:pt idx="43">
                  <c:v>21</c:v>
                </c:pt>
                <c:pt idx="44">
                  <c:v>2</c:v>
                </c:pt>
                <c:pt idx="45">
                  <c:v>5</c:v>
                </c:pt>
                <c:pt idx="46">
                  <c:v>13</c:v>
                </c:pt>
                <c:pt idx="47">
                  <c:v>12</c:v>
                </c:pt>
                <c:pt idx="48">
                  <c:v>22</c:v>
                </c:pt>
                <c:pt idx="49">
                  <c:v>3</c:v>
                </c:pt>
                <c:pt idx="50">
                  <c:v>7</c:v>
                </c:pt>
                <c:pt idx="51">
                  <c:v>63</c:v>
                </c:pt>
                <c:pt idx="52">
                  <c:v>9</c:v>
                </c:pt>
                <c:pt idx="53">
                  <c:v>2</c:v>
                </c:pt>
                <c:pt idx="54">
                  <c:v>17</c:v>
                </c:pt>
                <c:pt idx="55">
                  <c:v>10</c:v>
                </c:pt>
                <c:pt idx="56">
                  <c:v>36</c:v>
                </c:pt>
                <c:pt idx="57">
                  <c:v>24</c:v>
                </c:pt>
                <c:pt idx="58">
                  <c:v>9</c:v>
                </c:pt>
                <c:pt idx="59">
                  <c:v>101</c:v>
                </c:pt>
                <c:pt idx="60">
                  <c:v>20</c:v>
                </c:pt>
                <c:pt idx="61">
                  <c:v>55</c:v>
                </c:pt>
                <c:pt idx="62">
                  <c:v>33</c:v>
                </c:pt>
                <c:pt idx="63">
                  <c:v>12</c:v>
                </c:pt>
                <c:pt idx="64">
                  <c:v>7</c:v>
                </c:pt>
                <c:pt idx="65">
                  <c:v>7</c:v>
                </c:pt>
                <c:pt idx="66">
                  <c:v>78</c:v>
                </c:pt>
                <c:pt idx="67">
                  <c:v>8</c:v>
                </c:pt>
                <c:pt idx="68">
                  <c:v>3</c:v>
                </c:pt>
                <c:pt idx="69">
                  <c:v>2</c:v>
                </c:pt>
                <c:pt idx="70">
                  <c:v>123</c:v>
                </c:pt>
                <c:pt idx="71">
                  <c:v>75</c:v>
                </c:pt>
                <c:pt idx="72">
                  <c:v>12</c:v>
                </c:pt>
                <c:pt idx="73">
                  <c:v>13</c:v>
                </c:pt>
                <c:pt idx="74">
                  <c:v>87</c:v>
                </c:pt>
                <c:pt idx="75">
                  <c:v>39</c:v>
                </c:pt>
                <c:pt idx="76">
                  <c:v>8</c:v>
                </c:pt>
                <c:pt idx="77">
                  <c:v>69</c:v>
                </c:pt>
                <c:pt idx="78">
                  <c:v>39</c:v>
                </c:pt>
                <c:pt idx="79">
                  <c:v>15</c:v>
                </c:pt>
                <c:pt idx="80">
                  <c:v>230</c:v>
                </c:pt>
                <c:pt idx="81">
                  <c:v>10</c:v>
                </c:pt>
                <c:pt idx="82">
                  <c:v>1</c:v>
                </c:pt>
                <c:pt idx="83">
                  <c:v>3</c:v>
                </c:pt>
                <c:pt idx="84">
                  <c:v>17</c:v>
                </c:pt>
                <c:pt idx="85">
                  <c:v>41</c:v>
                </c:pt>
                <c:pt idx="86">
                  <c:v>88</c:v>
                </c:pt>
                <c:pt idx="87">
                  <c:v>16</c:v>
                </c:pt>
                <c:pt idx="88">
                  <c:v>1</c:v>
                </c:pt>
                <c:pt idx="89">
                  <c:v>99</c:v>
                </c:pt>
                <c:pt idx="90">
                  <c:v>14</c:v>
                </c:pt>
                <c:pt idx="91">
                  <c:v>30</c:v>
                </c:pt>
                <c:pt idx="92">
                  <c:v>39</c:v>
                </c:pt>
                <c:pt idx="93">
                  <c:v>20</c:v>
                </c:pt>
                <c:pt idx="94">
                  <c:v>11</c:v>
                </c:pt>
                <c:pt idx="95">
                  <c:v>80</c:v>
                </c:pt>
              </c:numCache>
            </c:numRef>
          </c:yVal>
          <c:smooth val="0"/>
          <c:extLst>
            <c:ext xmlns:c16="http://schemas.microsoft.com/office/drawing/2014/chart" uri="{C3380CC4-5D6E-409C-BE32-E72D297353CC}">
              <c16:uniqueId val="{00000006-4B57-4CBB-93DB-25C2F2BBF862}"/>
            </c:ext>
          </c:extLst>
        </c:ser>
        <c:dLbls>
          <c:dLblPos val="t"/>
          <c:showLegendKey val="0"/>
          <c:showVal val="1"/>
          <c:showCatName val="0"/>
          <c:showSerName val="0"/>
          <c:showPercent val="0"/>
          <c:showBubbleSize val="0"/>
        </c:dLbls>
        <c:axId val="1172049103"/>
        <c:axId val="1140880623"/>
      </c:scatterChart>
      <c:valAx>
        <c:axId val="1172049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80623"/>
        <c:crosses val="autoZero"/>
        <c:crossBetween val="midCat"/>
      </c:valAx>
      <c:valAx>
        <c:axId val="114088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49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'Registered forecast'!$B$1</c:f>
              <c:strCache>
                <c:ptCount val="1"/>
                <c:pt idx="0">
                  <c:v>Registered </c:v>
                </c:pt>
              </c:strCache>
            </c:strRef>
          </c:tx>
          <c:spPr>
            <a:ln w="28575" cap="rnd">
              <a:solidFill>
                <a:schemeClr val="accent1"/>
              </a:solidFill>
              <a:round/>
            </a:ln>
            <a:effectLst/>
          </c:spPr>
          <c:marker>
            <c:symbol val="none"/>
          </c:marker>
          <c:val>
            <c:numRef>
              <c:f>'Registered forecast'!$B$2:$B$60</c:f>
              <c:numCache>
                <c:formatCode>General</c:formatCode>
                <c:ptCount val="59"/>
                <c:pt idx="0">
                  <c:v>13</c:v>
                </c:pt>
                <c:pt idx="1">
                  <c:v>13</c:v>
                </c:pt>
                <c:pt idx="2">
                  <c:v>5</c:v>
                </c:pt>
                <c:pt idx="3">
                  <c:v>5</c:v>
                </c:pt>
                <c:pt idx="4">
                  <c:v>6</c:v>
                </c:pt>
                <c:pt idx="5">
                  <c:v>11</c:v>
                </c:pt>
                <c:pt idx="6">
                  <c:v>13</c:v>
                </c:pt>
                <c:pt idx="7">
                  <c:v>24</c:v>
                </c:pt>
                <c:pt idx="8">
                  <c:v>24</c:v>
                </c:pt>
                <c:pt idx="9">
                  <c:v>3</c:v>
                </c:pt>
                <c:pt idx="10">
                  <c:v>10</c:v>
                </c:pt>
                <c:pt idx="11">
                  <c:v>7</c:v>
                </c:pt>
                <c:pt idx="12">
                  <c:v>6</c:v>
                </c:pt>
                <c:pt idx="13">
                  <c:v>14</c:v>
                </c:pt>
                <c:pt idx="14">
                  <c:v>25</c:v>
                </c:pt>
                <c:pt idx="15">
                  <c:v>33</c:v>
                </c:pt>
                <c:pt idx="16">
                  <c:v>16</c:v>
                </c:pt>
                <c:pt idx="17">
                  <c:v>3</c:v>
                </c:pt>
                <c:pt idx="18">
                  <c:v>3</c:v>
                </c:pt>
                <c:pt idx="19">
                  <c:v>8</c:v>
                </c:pt>
                <c:pt idx="20">
                  <c:v>20</c:v>
                </c:pt>
                <c:pt idx="21">
                  <c:v>13</c:v>
                </c:pt>
                <c:pt idx="22">
                  <c:v>20</c:v>
                </c:pt>
                <c:pt idx="23">
                  <c:v>7</c:v>
                </c:pt>
                <c:pt idx="24">
                  <c:v>6</c:v>
                </c:pt>
                <c:pt idx="25">
                  <c:v>14</c:v>
                </c:pt>
                <c:pt idx="26">
                  <c:v>23</c:v>
                </c:pt>
                <c:pt idx="27">
                  <c:v>9</c:v>
                </c:pt>
                <c:pt idx="28">
                  <c:v>20</c:v>
                </c:pt>
                <c:pt idx="29">
                  <c:v>33</c:v>
                </c:pt>
                <c:pt idx="30">
                  <c:v>6</c:v>
                </c:pt>
                <c:pt idx="31">
                  <c:v>6</c:v>
                </c:pt>
                <c:pt idx="32">
                  <c:v>2</c:v>
                </c:pt>
                <c:pt idx="33">
                  <c:v>11</c:v>
                </c:pt>
                <c:pt idx="34">
                  <c:v>10</c:v>
                </c:pt>
                <c:pt idx="35">
                  <c:v>36</c:v>
                </c:pt>
                <c:pt idx="36">
                  <c:v>37</c:v>
                </c:pt>
                <c:pt idx="37">
                  <c:v>14</c:v>
                </c:pt>
                <c:pt idx="38">
                  <c:v>6</c:v>
                </c:pt>
                <c:pt idx="39">
                  <c:v>17</c:v>
                </c:pt>
                <c:pt idx="40">
                  <c:v>16</c:v>
                </c:pt>
                <c:pt idx="41">
                  <c:v>12</c:v>
                </c:pt>
                <c:pt idx="42">
                  <c:v>27</c:v>
                </c:pt>
                <c:pt idx="43">
                  <c:v>34</c:v>
                </c:pt>
                <c:pt idx="44">
                  <c:v>8</c:v>
                </c:pt>
              </c:numCache>
            </c:numRef>
          </c:val>
          <c:smooth val="0"/>
          <c:extLst>
            <c:ext xmlns:c16="http://schemas.microsoft.com/office/drawing/2014/chart" uri="{C3380CC4-5D6E-409C-BE32-E72D297353CC}">
              <c16:uniqueId val="{00000000-ED44-4FEB-BA01-2C81AAFBA2AA}"/>
            </c:ext>
          </c:extLst>
        </c:ser>
        <c:ser>
          <c:idx val="1"/>
          <c:order val="1"/>
          <c:tx>
            <c:strRef>
              <c:f>'Registered forecast'!$C$1</c:f>
              <c:strCache>
                <c:ptCount val="1"/>
                <c:pt idx="0">
                  <c:v>Forecast(Registered )</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exp"/>
            <c:dispRSqr val="0"/>
            <c:dispEq val="0"/>
          </c:trendline>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forecast'!$C$2:$C$60</c:f>
              <c:numCache>
                <c:formatCode>General</c:formatCode>
                <c:ptCount val="59"/>
                <c:pt idx="44">
                  <c:v>8</c:v>
                </c:pt>
                <c:pt idx="45">
                  <c:v>12.012396504895804</c:v>
                </c:pt>
                <c:pt idx="46">
                  <c:v>11.198600753958583</c:v>
                </c:pt>
                <c:pt idx="47">
                  <c:v>14.300460387633905</c:v>
                </c:pt>
                <c:pt idx="48">
                  <c:v>21.875344435374146</c:v>
                </c:pt>
                <c:pt idx="49">
                  <c:v>27.058490646153544</c:v>
                </c:pt>
                <c:pt idx="50">
                  <c:v>31.869634578105423</c:v>
                </c:pt>
                <c:pt idx="51">
                  <c:v>15.207437759768426</c:v>
                </c:pt>
                <c:pt idx="52">
                  <c:v>13.519545329338637</c:v>
                </c:pt>
                <c:pt idx="53">
                  <c:v>12.705749578401416</c:v>
                </c:pt>
                <c:pt idx="54">
                  <c:v>15.807609212076741</c:v>
                </c:pt>
                <c:pt idx="55">
                  <c:v>23.382493259816982</c:v>
                </c:pt>
                <c:pt idx="56">
                  <c:v>28.565639470596373</c:v>
                </c:pt>
                <c:pt idx="57">
                  <c:v>33.376783402548256</c:v>
                </c:pt>
                <c:pt idx="58">
                  <c:v>16.714586584211261</c:v>
                </c:pt>
              </c:numCache>
            </c:numRef>
          </c:val>
          <c:smooth val="0"/>
          <c:extLst>
            <c:ext xmlns:c16="http://schemas.microsoft.com/office/drawing/2014/chart" uri="{C3380CC4-5D6E-409C-BE32-E72D297353CC}">
              <c16:uniqueId val="{00000001-ED44-4FEB-BA01-2C81AAFBA2AA}"/>
            </c:ext>
          </c:extLst>
        </c:ser>
        <c:ser>
          <c:idx val="2"/>
          <c:order val="2"/>
          <c:tx>
            <c:strRef>
              <c:f>'Registered forecast'!$D$1</c:f>
              <c:strCache>
                <c:ptCount val="1"/>
                <c:pt idx="0">
                  <c:v>Lower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forecast'!$D$2:$D$60</c:f>
              <c:numCache>
                <c:formatCode>General</c:formatCode>
                <c:ptCount val="59"/>
                <c:pt idx="44" formatCode="0.00">
                  <c:v>8</c:v>
                </c:pt>
                <c:pt idx="45" formatCode="0.00">
                  <c:v>0.19943266376622226</c:v>
                </c:pt>
                <c:pt idx="46" formatCode="0.00">
                  <c:v>-0.70924766613907053</c:v>
                </c:pt>
                <c:pt idx="47" formatCode="0.00">
                  <c:v>2.2969951571489649</c:v>
                </c:pt>
                <c:pt idx="48" formatCode="0.00">
                  <c:v>9.7755359891887057</c:v>
                </c:pt>
                <c:pt idx="49" formatCode="0.00">
                  <c:v>14.861618351462148</c:v>
                </c:pt>
                <c:pt idx="50" formatCode="0.00">
                  <c:v>19.574983519715019</c:v>
                </c:pt>
                <c:pt idx="51" formatCode="0.00">
                  <c:v>2.8142986840411091</c:v>
                </c:pt>
                <c:pt idx="52" formatCode="0.00">
                  <c:v>1.0257234086417899</c:v>
                </c:pt>
                <c:pt idx="53" formatCode="0.00">
                  <c:v>0.11204971609523362</c:v>
                </c:pt>
                <c:pt idx="54" formatCode="0.00">
                  <c:v>3.1133386870534938</c:v>
                </c:pt>
                <c:pt idx="55" formatCode="0.00">
                  <c:v>10.58696477912561</c:v>
                </c:pt>
                <c:pt idx="56" formatCode="0.00">
                  <c:v>15.66817110943299</c:v>
                </c:pt>
                <c:pt idx="57" formatCode="0.00">
                  <c:v>20.376698543756653</c:v>
                </c:pt>
                <c:pt idx="58" formatCode="0.00">
                  <c:v>3.6112138573851613</c:v>
                </c:pt>
              </c:numCache>
            </c:numRef>
          </c:val>
          <c:smooth val="0"/>
          <c:extLst>
            <c:ext xmlns:c16="http://schemas.microsoft.com/office/drawing/2014/chart" uri="{C3380CC4-5D6E-409C-BE32-E72D297353CC}">
              <c16:uniqueId val="{00000002-ED44-4FEB-BA01-2C81AAFBA2AA}"/>
            </c:ext>
          </c:extLst>
        </c:ser>
        <c:ser>
          <c:idx val="3"/>
          <c:order val="3"/>
          <c:tx>
            <c:strRef>
              <c:f>'Registered forecast'!$E$1</c:f>
              <c:strCache>
                <c:ptCount val="1"/>
                <c:pt idx="0">
                  <c:v>Upper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forecast'!$E$2:$E$60</c:f>
              <c:numCache>
                <c:formatCode>General</c:formatCode>
                <c:ptCount val="59"/>
                <c:pt idx="44" formatCode="0.00">
                  <c:v>8</c:v>
                </c:pt>
                <c:pt idx="45" formatCode="0.00">
                  <c:v>23.825360346025384</c:v>
                </c:pt>
                <c:pt idx="46" formatCode="0.00">
                  <c:v>23.106449174056237</c:v>
                </c:pt>
                <c:pt idx="47" formatCode="0.00">
                  <c:v>26.303925618118846</c:v>
                </c:pt>
                <c:pt idx="48" formatCode="0.00">
                  <c:v>33.975152881559588</c:v>
                </c:pt>
                <c:pt idx="49" formatCode="0.00">
                  <c:v>39.25536294084494</c:v>
                </c:pt>
                <c:pt idx="50" formatCode="0.00">
                  <c:v>44.164285636495826</c:v>
                </c:pt>
                <c:pt idx="51" formatCode="0.00">
                  <c:v>27.600576835495744</c:v>
                </c:pt>
                <c:pt idx="52" formatCode="0.00">
                  <c:v>26.013367250035486</c:v>
                </c:pt>
                <c:pt idx="53" formatCode="0.00">
                  <c:v>25.299449440707598</c:v>
                </c:pt>
                <c:pt idx="54" formatCode="0.00">
                  <c:v>28.501879737099991</c:v>
                </c:pt>
                <c:pt idx="55" formatCode="0.00">
                  <c:v>36.178021740508356</c:v>
                </c:pt>
                <c:pt idx="56" formatCode="0.00">
                  <c:v>41.463107831759757</c:v>
                </c:pt>
                <c:pt idx="57" formatCode="0.00">
                  <c:v>46.376868261339858</c:v>
                </c:pt>
                <c:pt idx="58" formatCode="0.00">
                  <c:v>29.817959311037363</c:v>
                </c:pt>
              </c:numCache>
            </c:numRef>
          </c:val>
          <c:smooth val="0"/>
          <c:extLst>
            <c:ext xmlns:c16="http://schemas.microsoft.com/office/drawing/2014/chart" uri="{C3380CC4-5D6E-409C-BE32-E72D297353CC}">
              <c16:uniqueId val="{00000003-ED44-4FEB-BA01-2C81AAFBA2AA}"/>
            </c:ext>
          </c:extLst>
        </c:ser>
        <c:dLbls>
          <c:showLegendKey val="0"/>
          <c:showVal val="0"/>
          <c:showCatName val="0"/>
          <c:showSerName val="0"/>
          <c:showPercent val="0"/>
          <c:showBubbleSize val="0"/>
        </c:dLbls>
        <c:smooth val="0"/>
        <c:axId val="1036391615"/>
        <c:axId val="1140895983"/>
      </c:lineChart>
      <c:catAx>
        <c:axId val="103639161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95983"/>
        <c:crosses val="autoZero"/>
        <c:auto val="1"/>
        <c:lblAlgn val="ctr"/>
        <c:lblOffset val="100"/>
        <c:noMultiLvlLbl val="0"/>
      </c:catAx>
      <c:valAx>
        <c:axId val="11408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91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377969058215546E-2"/>
          <c:y val="1.9021713194941541E-2"/>
          <c:w val="0.94506969237540961"/>
          <c:h val="0.7056849711967822"/>
        </c:manualLayout>
      </c:layout>
      <c:lineChart>
        <c:grouping val="standard"/>
        <c:varyColors val="0"/>
        <c:ser>
          <c:idx val="0"/>
          <c:order val="0"/>
          <c:tx>
            <c:strRef>
              <c:f>'Casual riderforecast'!$B$1</c:f>
              <c:strCache>
                <c:ptCount val="1"/>
                <c:pt idx="0">
                  <c:v>Values</c:v>
                </c:pt>
              </c:strCache>
            </c:strRef>
          </c:tx>
          <c:spPr>
            <a:ln w="28575" cap="rnd">
              <a:solidFill>
                <a:schemeClr val="accent1"/>
              </a:solidFill>
              <a:round/>
            </a:ln>
            <a:effectLst/>
          </c:spPr>
          <c:marker>
            <c:symbol val="none"/>
          </c:marker>
          <c:val>
            <c:numRef>
              <c:f>'Casual riderforecast'!$B$2:$B$75</c:f>
              <c:numCache>
                <c:formatCode>General</c:formatCode>
                <c:ptCount val="74"/>
                <c:pt idx="0">
                  <c:v>3</c:v>
                </c:pt>
                <c:pt idx="1">
                  <c:v>4</c:v>
                </c:pt>
                <c:pt idx="2">
                  <c:v>0</c:v>
                </c:pt>
                <c:pt idx="3">
                  <c:v>0</c:v>
                </c:pt>
                <c:pt idx="4">
                  <c:v>0</c:v>
                </c:pt>
                <c:pt idx="5">
                  <c:v>0</c:v>
                </c:pt>
                <c:pt idx="6">
                  <c:v>4</c:v>
                </c:pt>
                <c:pt idx="7">
                  <c:v>1</c:v>
                </c:pt>
                <c:pt idx="8">
                  <c:v>1</c:v>
                </c:pt>
                <c:pt idx="9">
                  <c:v>2</c:v>
                </c:pt>
                <c:pt idx="10">
                  <c:v>2</c:v>
                </c:pt>
                <c:pt idx="11">
                  <c:v>0</c:v>
                </c:pt>
                <c:pt idx="12">
                  <c:v>1</c:v>
                </c:pt>
                <c:pt idx="13">
                  <c:v>0</c:v>
                </c:pt>
                <c:pt idx="14">
                  <c:v>3</c:v>
                </c:pt>
                <c:pt idx="15">
                  <c:v>6</c:v>
                </c:pt>
                <c:pt idx="16">
                  <c:v>1</c:v>
                </c:pt>
                <c:pt idx="17">
                  <c:v>0</c:v>
                </c:pt>
                <c:pt idx="18">
                  <c:v>0</c:v>
                </c:pt>
                <c:pt idx="19">
                  <c:v>5</c:v>
                </c:pt>
                <c:pt idx="20">
                  <c:v>1</c:v>
                </c:pt>
                <c:pt idx="21">
                  <c:v>0</c:v>
                </c:pt>
                <c:pt idx="22">
                  <c:v>2</c:v>
                </c:pt>
                <c:pt idx="23">
                  <c:v>0</c:v>
                </c:pt>
                <c:pt idx="24">
                  <c:v>3</c:v>
                </c:pt>
                <c:pt idx="25">
                  <c:v>3</c:v>
                </c:pt>
                <c:pt idx="26">
                  <c:v>1</c:v>
                </c:pt>
                <c:pt idx="27">
                  <c:v>0</c:v>
                </c:pt>
                <c:pt idx="28">
                  <c:v>0</c:v>
                </c:pt>
                <c:pt idx="29">
                  <c:v>0</c:v>
                </c:pt>
                <c:pt idx="30">
                  <c:v>1</c:v>
                </c:pt>
                <c:pt idx="31">
                  <c:v>2</c:v>
                </c:pt>
                <c:pt idx="32">
                  <c:v>0</c:v>
                </c:pt>
                <c:pt idx="33">
                  <c:v>1</c:v>
                </c:pt>
                <c:pt idx="34">
                  <c:v>3</c:v>
                </c:pt>
                <c:pt idx="35">
                  <c:v>3</c:v>
                </c:pt>
                <c:pt idx="36">
                  <c:v>2</c:v>
                </c:pt>
                <c:pt idx="37">
                  <c:v>1</c:v>
                </c:pt>
                <c:pt idx="38">
                  <c:v>4</c:v>
                </c:pt>
                <c:pt idx="39">
                  <c:v>0</c:v>
                </c:pt>
                <c:pt idx="40">
                  <c:v>0</c:v>
                </c:pt>
                <c:pt idx="41">
                  <c:v>2</c:v>
                </c:pt>
                <c:pt idx="42">
                  <c:v>3</c:v>
                </c:pt>
                <c:pt idx="43">
                  <c:v>5</c:v>
                </c:pt>
                <c:pt idx="44">
                  <c:v>3</c:v>
                </c:pt>
                <c:pt idx="45" formatCode="0">
                  <c:v>1.9707070707071352</c:v>
                </c:pt>
                <c:pt idx="46" formatCode="0">
                  <c:v>1.9858585858586366</c:v>
                </c:pt>
                <c:pt idx="47" formatCode="0">
                  <c:v>2.001010101010138</c:v>
                </c:pt>
                <c:pt idx="48" formatCode="0">
                  <c:v>2.0161616161616394</c:v>
                </c:pt>
                <c:pt idx="49" formatCode="0">
                  <c:v>2.0313131313132544</c:v>
                </c:pt>
                <c:pt idx="50" formatCode="0">
                  <c:v>2.0464646464647558</c:v>
                </c:pt>
                <c:pt idx="51" formatCode="0">
                  <c:v>2.0616161616162572</c:v>
                </c:pt>
                <c:pt idx="52" formatCode="0">
                  <c:v>2.0767676767677585</c:v>
                </c:pt>
                <c:pt idx="53" formatCode="0">
                  <c:v>2.0919191919192599</c:v>
                </c:pt>
                <c:pt idx="54" formatCode="0">
                  <c:v>2.1070707070707613</c:v>
                </c:pt>
                <c:pt idx="55" formatCode="0">
                  <c:v>2.1222222222222626</c:v>
                </c:pt>
                <c:pt idx="56" formatCode="0">
                  <c:v>2.137373737373764</c:v>
                </c:pt>
                <c:pt idx="57" formatCode="0">
                  <c:v>2.1525252525252654</c:v>
                </c:pt>
                <c:pt idx="58" formatCode="0">
                  <c:v>2.1676767676768804</c:v>
                </c:pt>
              </c:numCache>
            </c:numRef>
          </c:val>
          <c:smooth val="0"/>
          <c:extLst>
            <c:ext xmlns:c16="http://schemas.microsoft.com/office/drawing/2014/chart" uri="{C3380CC4-5D6E-409C-BE32-E72D297353CC}">
              <c16:uniqueId val="{00000000-8A63-4C22-A5AA-B925CFF3CE66}"/>
            </c:ext>
          </c:extLst>
        </c:ser>
        <c:ser>
          <c:idx val="1"/>
          <c:order val="1"/>
          <c:tx>
            <c:strRef>
              <c:f>'Casual riderforecast'!$C$1</c:f>
              <c:strCache>
                <c:ptCount val="1"/>
                <c:pt idx="0">
                  <c:v>Forecast</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riderforecast'!$C$2:$C$75</c:f>
              <c:numCache>
                <c:formatCode>General</c:formatCode>
                <c:ptCount val="74"/>
                <c:pt idx="58" formatCode="0">
                  <c:v>2.1676767676768804</c:v>
                </c:pt>
                <c:pt idx="59" formatCode="0">
                  <c:v>2.1619786883420002</c:v>
                </c:pt>
                <c:pt idx="60" formatCode="0">
                  <c:v>2.1681943944576587</c:v>
                </c:pt>
                <c:pt idx="61" formatCode="0">
                  <c:v>2.1744101005733172</c:v>
                </c:pt>
                <c:pt idx="62" formatCode="0">
                  <c:v>2.1806258066889757</c:v>
                </c:pt>
                <c:pt idx="63" formatCode="0">
                  <c:v>2.1868415128046341</c:v>
                </c:pt>
                <c:pt idx="64" formatCode="0">
                  <c:v>2.1930572189202926</c:v>
                </c:pt>
                <c:pt idx="65" formatCode="0">
                  <c:v>2.1992729250359511</c:v>
                </c:pt>
                <c:pt idx="66" formatCode="0">
                  <c:v>2.2054886311516095</c:v>
                </c:pt>
                <c:pt idx="67" formatCode="0">
                  <c:v>2.211704337267268</c:v>
                </c:pt>
                <c:pt idx="68" formatCode="0">
                  <c:v>2.2179200433829265</c:v>
                </c:pt>
                <c:pt idx="69" formatCode="0">
                  <c:v>2.2241357494985849</c:v>
                </c:pt>
                <c:pt idx="70" formatCode="0">
                  <c:v>2.2303514556142434</c:v>
                </c:pt>
                <c:pt idx="71" formatCode="0">
                  <c:v>2.2365671617299019</c:v>
                </c:pt>
                <c:pt idx="72" formatCode="0">
                  <c:v>2.2427828678455604</c:v>
                </c:pt>
                <c:pt idx="73" formatCode="0">
                  <c:v>2.2489985739612188</c:v>
                </c:pt>
              </c:numCache>
            </c:numRef>
          </c:val>
          <c:smooth val="0"/>
          <c:extLst>
            <c:ext xmlns:c16="http://schemas.microsoft.com/office/drawing/2014/chart" uri="{C3380CC4-5D6E-409C-BE32-E72D297353CC}">
              <c16:uniqueId val="{00000001-8A63-4C22-A5AA-B925CFF3CE66}"/>
            </c:ext>
          </c:extLst>
        </c:ser>
        <c:ser>
          <c:idx val="2"/>
          <c:order val="2"/>
          <c:tx>
            <c:strRef>
              <c:f>'Casual riderforecast'!$D$1</c:f>
              <c:strCache>
                <c:ptCount val="1"/>
                <c:pt idx="0">
                  <c:v>Lower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riderforecast'!$D$2:$D$75</c:f>
              <c:numCache>
                <c:formatCode>General</c:formatCode>
                <c:ptCount val="74"/>
                <c:pt idx="58" formatCode="0.00">
                  <c:v>2.1676767676768804</c:v>
                </c:pt>
                <c:pt idx="59" formatCode="0.00">
                  <c:v>-0.86440745019163501</c:v>
                </c:pt>
                <c:pt idx="60" formatCode="0.00">
                  <c:v>-0.88250040855776968</c:v>
                </c:pt>
                <c:pt idx="61" formatCode="0.00">
                  <c:v>-0.90078095871264674</c:v>
                </c:pt>
                <c:pt idx="62" formatCode="0.00">
                  <c:v>-0.91924760805486017</c:v>
                </c:pt>
                <c:pt idx="63" formatCode="0.00">
                  <c:v>-0.93789887771444169</c:v>
                </c:pt>
                <c:pt idx="64" formatCode="0.00">
                  <c:v>-0.95673330288517056</c:v>
                </c:pt>
                <c:pt idx="65" formatCode="0.00">
                  <c:v>-0.97574943312224161</c:v>
                </c:pt>
                <c:pt idx="66" formatCode="0.00">
                  <c:v>-0.9949458326070304</c:v>
                </c:pt>
                <c:pt idx="67" formatCode="0.00">
                  <c:v>-1.0143210803806757</c:v>
                </c:pt>
                <c:pt idx="68" formatCode="0.00">
                  <c:v>-1.0338737705481065</c:v>
                </c:pt>
                <c:pt idx="69" formatCode="0.00">
                  <c:v>-1.0536025124541299</c:v>
                </c:pt>
                <c:pt idx="70" formatCode="0.00">
                  <c:v>-1.0735059308331074</c:v>
                </c:pt>
                <c:pt idx="71" formatCode="0.00">
                  <c:v>-1.0935826659337127</c:v>
                </c:pt>
                <c:pt idx="72" formatCode="0.00">
                  <c:v>-1.1138313736202008</c:v>
                </c:pt>
                <c:pt idx="73" formatCode="0.00">
                  <c:v>-1.134250725451571</c:v>
                </c:pt>
              </c:numCache>
            </c:numRef>
          </c:val>
          <c:smooth val="0"/>
          <c:extLst>
            <c:ext xmlns:c16="http://schemas.microsoft.com/office/drawing/2014/chart" uri="{C3380CC4-5D6E-409C-BE32-E72D297353CC}">
              <c16:uniqueId val="{00000002-8A63-4C22-A5AA-B925CFF3CE66}"/>
            </c:ext>
          </c:extLst>
        </c:ser>
        <c:ser>
          <c:idx val="3"/>
          <c:order val="3"/>
          <c:tx>
            <c:strRef>
              <c:f>'Casual riderforecast'!$E$1</c:f>
              <c:strCache>
                <c:ptCount val="1"/>
                <c:pt idx="0">
                  <c:v>Upper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riderforecast'!$E$2:$E$75</c:f>
              <c:numCache>
                <c:formatCode>General</c:formatCode>
                <c:ptCount val="74"/>
                <c:pt idx="58" formatCode="0.00">
                  <c:v>2.1676767676768804</c:v>
                </c:pt>
                <c:pt idx="59" formatCode="0.00">
                  <c:v>5.1883648268756355</c:v>
                </c:pt>
                <c:pt idx="60" formatCode="0.00">
                  <c:v>5.2188891974730875</c:v>
                </c:pt>
                <c:pt idx="61" formatCode="0.00">
                  <c:v>5.2496011598592816</c:v>
                </c:pt>
                <c:pt idx="62" formatCode="0.00">
                  <c:v>5.2804992214328115</c:v>
                </c:pt>
                <c:pt idx="63" formatCode="0.00">
                  <c:v>5.3115819033237095</c:v>
                </c:pt>
                <c:pt idx="64" formatCode="0.00">
                  <c:v>5.3428477407257553</c:v>
                </c:pt>
                <c:pt idx="65" formatCode="0.00">
                  <c:v>5.3742952831941437</c:v>
                </c:pt>
                <c:pt idx="66" formatCode="0.00">
                  <c:v>5.4059230949102499</c:v>
                </c:pt>
                <c:pt idx="67" formatCode="0.00">
                  <c:v>5.4377297549152122</c:v>
                </c:pt>
                <c:pt idx="68" formatCode="0.00">
                  <c:v>5.469713857313959</c:v>
                </c:pt>
                <c:pt idx="69" formatCode="0.00">
                  <c:v>5.5018740114512994</c:v>
                </c:pt>
                <c:pt idx="70" formatCode="0.00">
                  <c:v>5.5342088420615942</c:v>
                </c:pt>
                <c:pt idx="71" formatCode="0.00">
                  <c:v>5.566716989393516</c:v>
                </c:pt>
                <c:pt idx="72" formatCode="0.00">
                  <c:v>5.5993971093113215</c:v>
                </c:pt>
                <c:pt idx="73" formatCode="0.00">
                  <c:v>5.6322478733740091</c:v>
                </c:pt>
              </c:numCache>
            </c:numRef>
          </c:val>
          <c:smooth val="0"/>
          <c:extLst>
            <c:ext xmlns:c16="http://schemas.microsoft.com/office/drawing/2014/chart" uri="{C3380CC4-5D6E-409C-BE32-E72D297353CC}">
              <c16:uniqueId val="{00000003-8A63-4C22-A5AA-B925CFF3CE66}"/>
            </c:ext>
          </c:extLst>
        </c:ser>
        <c:dLbls>
          <c:showLegendKey val="0"/>
          <c:showVal val="0"/>
          <c:showCatName val="0"/>
          <c:showSerName val="0"/>
          <c:showPercent val="0"/>
          <c:showBubbleSize val="0"/>
        </c:dLbls>
        <c:smooth val="0"/>
        <c:axId val="1036269119"/>
        <c:axId val="485175215"/>
      </c:lineChart>
      <c:catAx>
        <c:axId val="10362691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75215"/>
        <c:crosses val="autoZero"/>
        <c:auto val="1"/>
        <c:lblAlgn val="ctr"/>
        <c:lblOffset val="100"/>
        <c:noMultiLvlLbl val="0"/>
      </c:catAx>
      <c:valAx>
        <c:axId val="485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6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3E1F-436F-B436-8A01FBE6272D}">
          <cx:dataLabels pos="outEnd">
            <cx:visibility seriesName="0" categoryName="0" value="1"/>
          </cx:dataLabels>
          <cx:dataId val="0"/>
          <cx:layoutPr>
            <cx:subtotals>
              <cx:idx val="2"/>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gradFill>
      <a:gsLst>
        <a:gs pos="0">
          <a:schemeClr val="accent1">
            <a:lumMod val="5000"/>
            <a:lumOff val="95000"/>
          </a:schemeClr>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3BED-41DE-975D-195539D859C3}">
          <cx:spPr>
            <a:ln cmpd="thickThin">
              <a:solidFill>
                <a:schemeClr val="accent1">
                  <a:shade val="15000"/>
                </a:schemeClr>
              </a:solidFill>
            </a:ln>
          </cx:spPr>
          <cx:dataLabels pos="inEnd">
            <cx:txPr>
              <a:bodyPr spcFirstLastPara="1" vertOverflow="ellipsis" horzOverflow="overflow" wrap="square" lIns="0" tIns="0" rIns="0" bIns="0" anchor="ctr" anchorCtr="1"/>
              <a:lstStyle/>
              <a:p>
                <a:pPr algn="ctr" rtl="0">
                  <a:defRPr sz="880" b="1" baseline="0"/>
                </a:pPr>
                <a:endParaRPr lang="en-US" sz="88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banner"/>
          </cx:layoutPr>
        </cx:series>
      </cx:plotAreaRegion>
    </cx:plotArea>
  </cx:chart>
  <cx: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emf"/><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1.xml"/><Relationship Id="rId11" Type="http://schemas.openxmlformats.org/officeDocument/2006/relationships/chart" Target="../charts/chart5.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160020</xdr:colOff>
      <xdr:row>0</xdr:row>
      <xdr:rowOff>22860</xdr:rowOff>
    </xdr:from>
    <xdr:to>
      <xdr:col>14</xdr:col>
      <xdr:colOff>441960</xdr:colOff>
      <xdr:row>55</xdr:row>
      <xdr:rowOff>0</xdr:rowOff>
    </xdr:to>
    <xdr:sp macro="" textlink="">
      <xdr:nvSpPr>
        <xdr:cNvPr id="2" name="Rectangle: Rounded Corners 1">
          <a:extLst>
            <a:ext uri="{FF2B5EF4-FFF2-40B4-BE49-F238E27FC236}">
              <a16:creationId xmlns:a16="http://schemas.microsoft.com/office/drawing/2014/main" id="{F66BBE17-A150-E1FF-5FDD-C31693BF279D}"/>
            </a:ext>
          </a:extLst>
        </xdr:cNvPr>
        <xdr:cNvSpPr/>
      </xdr:nvSpPr>
      <xdr:spPr>
        <a:xfrm>
          <a:off x="160020" y="22860"/>
          <a:ext cx="8823960" cy="10035540"/>
        </a:xfrm>
        <a:prstGeom prst="roundRect">
          <a:avLst>
            <a:gd name="adj" fmla="val 255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0</xdr:row>
      <xdr:rowOff>99060</xdr:rowOff>
    </xdr:from>
    <xdr:to>
      <xdr:col>10</xdr:col>
      <xdr:colOff>266700</xdr:colOff>
      <xdr:row>2</xdr:row>
      <xdr:rowOff>91440</xdr:rowOff>
    </xdr:to>
    <xdr:sp macro="" textlink="">
      <xdr:nvSpPr>
        <xdr:cNvPr id="3" name="Rectangle: Rounded Corners 2">
          <a:extLst>
            <a:ext uri="{FF2B5EF4-FFF2-40B4-BE49-F238E27FC236}">
              <a16:creationId xmlns:a16="http://schemas.microsoft.com/office/drawing/2014/main" id="{7839FBB9-CEDB-67D1-F17C-BA7083D1A2AB}"/>
            </a:ext>
          </a:extLst>
        </xdr:cNvPr>
        <xdr:cNvSpPr/>
      </xdr:nvSpPr>
      <xdr:spPr>
        <a:xfrm>
          <a:off x="304800" y="99060"/>
          <a:ext cx="6065520" cy="358140"/>
        </a:xfrm>
        <a:prstGeom prst="roundRect">
          <a:avLst/>
        </a:prstGeom>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u="sng">
              <a:solidFill>
                <a:schemeClr val="accent2">
                  <a:lumMod val="75000"/>
                </a:schemeClr>
              </a:solidFill>
            </a:rPr>
            <a:t>Riders Demand Analysis Dashboard</a:t>
          </a:r>
        </a:p>
      </xdr:txBody>
    </xdr:sp>
    <xdr:clientData/>
  </xdr:twoCellAnchor>
  <xdr:twoCellAnchor>
    <xdr:from>
      <xdr:col>0</xdr:col>
      <xdr:colOff>495300</xdr:colOff>
      <xdr:row>5</xdr:row>
      <xdr:rowOff>30480</xdr:rowOff>
    </xdr:from>
    <xdr:to>
      <xdr:col>3</xdr:col>
      <xdr:colOff>175260</xdr:colOff>
      <xdr:row>6</xdr:row>
      <xdr:rowOff>152400</xdr:rowOff>
    </xdr:to>
    <xdr:sp macro="" textlink="Pivot!B50">
      <xdr:nvSpPr>
        <xdr:cNvPr id="9" name="Rectangle: Rounded Corners 8">
          <a:extLst>
            <a:ext uri="{FF2B5EF4-FFF2-40B4-BE49-F238E27FC236}">
              <a16:creationId xmlns:a16="http://schemas.microsoft.com/office/drawing/2014/main" id="{CC36CEF4-ABB2-CACA-E5D9-6F3FABDD3DD2}"/>
            </a:ext>
          </a:extLst>
        </xdr:cNvPr>
        <xdr:cNvSpPr/>
      </xdr:nvSpPr>
      <xdr:spPr>
        <a:xfrm>
          <a:off x="495300" y="944880"/>
          <a:ext cx="1508760" cy="304800"/>
        </a:xfrm>
        <a:prstGeom prst="roundRect">
          <a:avLst/>
        </a:prstGeom>
        <a:solidFill>
          <a:schemeClr val="accent2">
            <a:lumMod val="60000"/>
            <a:lumOff val="40000"/>
            <a:alpha val="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endParaRPr lang="en-IN" sz="1100"/>
        </a:p>
      </xdr:txBody>
    </xdr:sp>
    <xdr:clientData/>
  </xdr:twoCellAnchor>
  <xdr:twoCellAnchor>
    <xdr:from>
      <xdr:col>0</xdr:col>
      <xdr:colOff>297180</xdr:colOff>
      <xdr:row>2</xdr:row>
      <xdr:rowOff>91440</xdr:rowOff>
    </xdr:from>
    <xdr:to>
      <xdr:col>3</xdr:col>
      <xdr:colOff>396240</xdr:colOff>
      <xdr:row>7</xdr:row>
      <xdr:rowOff>114300</xdr:rowOff>
    </xdr:to>
    <xdr:sp macro="" textlink="">
      <xdr:nvSpPr>
        <xdr:cNvPr id="20" name="Rectangle 19">
          <a:extLst>
            <a:ext uri="{FF2B5EF4-FFF2-40B4-BE49-F238E27FC236}">
              <a16:creationId xmlns:a16="http://schemas.microsoft.com/office/drawing/2014/main" id="{E3429729-6B87-F858-0B78-3853109795FA}"/>
            </a:ext>
          </a:extLst>
        </xdr:cNvPr>
        <xdr:cNvSpPr/>
      </xdr:nvSpPr>
      <xdr:spPr>
        <a:xfrm>
          <a:off x="297180" y="457200"/>
          <a:ext cx="1927860" cy="93726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Casual Riders</a:t>
          </a:r>
        </a:p>
      </xdr:txBody>
    </xdr:sp>
    <xdr:clientData/>
  </xdr:twoCellAnchor>
  <xdr:twoCellAnchor>
    <xdr:from>
      <xdr:col>7</xdr:col>
      <xdr:colOff>60960</xdr:colOff>
      <xdr:row>2</xdr:row>
      <xdr:rowOff>76200</xdr:rowOff>
    </xdr:from>
    <xdr:to>
      <xdr:col>10</xdr:col>
      <xdr:colOff>205740</xdr:colOff>
      <xdr:row>7</xdr:row>
      <xdr:rowOff>76200</xdr:rowOff>
    </xdr:to>
    <xdr:sp macro="" textlink="">
      <xdr:nvSpPr>
        <xdr:cNvPr id="21" name="Rectangle 20">
          <a:extLst>
            <a:ext uri="{FF2B5EF4-FFF2-40B4-BE49-F238E27FC236}">
              <a16:creationId xmlns:a16="http://schemas.microsoft.com/office/drawing/2014/main" id="{B047E442-5098-43F4-8E53-AA5E8B67C0E9}"/>
            </a:ext>
          </a:extLst>
        </xdr:cNvPr>
        <xdr:cNvSpPr/>
      </xdr:nvSpPr>
      <xdr:spPr>
        <a:xfrm>
          <a:off x="4328160" y="441960"/>
          <a:ext cx="1973580" cy="91440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Total Riders</a:t>
          </a:r>
        </a:p>
      </xdr:txBody>
    </xdr:sp>
    <xdr:clientData/>
  </xdr:twoCellAnchor>
  <xdr:twoCellAnchor>
    <xdr:from>
      <xdr:col>3</xdr:col>
      <xdr:colOff>495300</xdr:colOff>
      <xdr:row>2</xdr:row>
      <xdr:rowOff>106680</xdr:rowOff>
    </xdr:from>
    <xdr:to>
      <xdr:col>6</xdr:col>
      <xdr:colOff>594360</xdr:colOff>
      <xdr:row>7</xdr:row>
      <xdr:rowOff>114300</xdr:rowOff>
    </xdr:to>
    <xdr:sp macro="" textlink="">
      <xdr:nvSpPr>
        <xdr:cNvPr id="22" name="Rectangle 21">
          <a:extLst>
            <a:ext uri="{FF2B5EF4-FFF2-40B4-BE49-F238E27FC236}">
              <a16:creationId xmlns:a16="http://schemas.microsoft.com/office/drawing/2014/main" id="{73694D93-92BD-4736-A4DA-A7BBFE634CB0}"/>
            </a:ext>
          </a:extLst>
        </xdr:cNvPr>
        <xdr:cNvSpPr/>
      </xdr:nvSpPr>
      <xdr:spPr>
        <a:xfrm>
          <a:off x="2324100" y="472440"/>
          <a:ext cx="1927860" cy="92202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Registered Riders</a:t>
          </a:r>
        </a:p>
      </xdr:txBody>
    </xdr:sp>
    <xdr:clientData/>
  </xdr:twoCellAnchor>
  <xdr:twoCellAnchor>
    <xdr:from>
      <xdr:col>0</xdr:col>
      <xdr:colOff>320040</xdr:colOff>
      <xdr:row>4</xdr:row>
      <xdr:rowOff>68580</xdr:rowOff>
    </xdr:from>
    <xdr:to>
      <xdr:col>3</xdr:col>
      <xdr:colOff>388620</xdr:colOff>
      <xdr:row>5</xdr:row>
      <xdr:rowOff>160020</xdr:rowOff>
    </xdr:to>
    <xdr:sp macro="" textlink="Pivot!B50">
      <xdr:nvSpPr>
        <xdr:cNvPr id="23" name="Rectangle 22">
          <a:extLst>
            <a:ext uri="{FF2B5EF4-FFF2-40B4-BE49-F238E27FC236}">
              <a16:creationId xmlns:a16="http://schemas.microsoft.com/office/drawing/2014/main" id="{D08AFD04-5DCB-36B0-889E-B527D2D07FC5}"/>
            </a:ext>
          </a:extLst>
        </xdr:cNvPr>
        <xdr:cNvSpPr/>
      </xdr:nvSpPr>
      <xdr:spPr>
        <a:xfrm>
          <a:off x="320040" y="800100"/>
          <a:ext cx="1897380" cy="27432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61F146E0-1423-42AA-A043-778EF4F893BA}" type="TxLink">
            <a:rPr lang="en-US" sz="1800" b="1" i="0" u="none" strike="noStrike">
              <a:solidFill>
                <a:srgbClr val="00B050"/>
              </a:solidFill>
              <a:latin typeface="Calibri"/>
              <a:ea typeface="Calibri"/>
              <a:cs typeface="Calibri"/>
            </a:rPr>
            <a:pPr algn="l"/>
            <a:t>204</a:t>
          </a:fld>
          <a:endParaRPr lang="en-IN" sz="1800" b="1">
            <a:solidFill>
              <a:srgbClr val="00B050"/>
            </a:solidFill>
          </a:endParaRPr>
        </a:p>
      </xdr:txBody>
    </xdr:sp>
    <xdr:clientData/>
  </xdr:twoCellAnchor>
  <xdr:twoCellAnchor>
    <xdr:from>
      <xdr:col>7</xdr:col>
      <xdr:colOff>76200</xdr:colOff>
      <xdr:row>4</xdr:row>
      <xdr:rowOff>76200</xdr:rowOff>
    </xdr:from>
    <xdr:to>
      <xdr:col>10</xdr:col>
      <xdr:colOff>167640</xdr:colOff>
      <xdr:row>6</xdr:row>
      <xdr:rowOff>30480</xdr:rowOff>
    </xdr:to>
    <xdr:sp macro="" textlink="Pivot!D50">
      <xdr:nvSpPr>
        <xdr:cNvPr id="24" name="Rectangle 23">
          <a:extLst>
            <a:ext uri="{FF2B5EF4-FFF2-40B4-BE49-F238E27FC236}">
              <a16:creationId xmlns:a16="http://schemas.microsoft.com/office/drawing/2014/main" id="{74D265B1-4217-489E-AB57-8A3D921B42E7}"/>
            </a:ext>
          </a:extLst>
        </xdr:cNvPr>
        <xdr:cNvSpPr/>
      </xdr:nvSpPr>
      <xdr:spPr>
        <a:xfrm>
          <a:off x="4343400" y="807720"/>
          <a:ext cx="1920240" cy="32004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AB75068D-714A-4550-A70C-4AC667016E8E}" type="TxLink">
            <a:rPr lang="en-US" sz="1800" b="1" i="0" u="none" strike="noStrike">
              <a:solidFill>
                <a:srgbClr val="00B050"/>
              </a:solidFill>
              <a:latin typeface="Calibri"/>
              <a:ea typeface="Calibri"/>
              <a:cs typeface="Calibri"/>
            </a:rPr>
            <a:pPr algn="l"/>
            <a:t>3122</a:t>
          </a:fld>
          <a:endParaRPr lang="en-IN" sz="1800" b="1">
            <a:solidFill>
              <a:srgbClr val="00B050"/>
            </a:solidFill>
          </a:endParaRPr>
        </a:p>
      </xdr:txBody>
    </xdr:sp>
    <xdr:clientData/>
  </xdr:twoCellAnchor>
  <xdr:twoCellAnchor>
    <xdr:from>
      <xdr:col>3</xdr:col>
      <xdr:colOff>510540</xdr:colOff>
      <xdr:row>4</xdr:row>
      <xdr:rowOff>76200</xdr:rowOff>
    </xdr:from>
    <xdr:to>
      <xdr:col>6</xdr:col>
      <xdr:colOff>601980</xdr:colOff>
      <xdr:row>6</xdr:row>
      <xdr:rowOff>30480</xdr:rowOff>
    </xdr:to>
    <xdr:sp macro="" textlink="Pivot!C50">
      <xdr:nvSpPr>
        <xdr:cNvPr id="25" name="Rectangle 24">
          <a:extLst>
            <a:ext uri="{FF2B5EF4-FFF2-40B4-BE49-F238E27FC236}">
              <a16:creationId xmlns:a16="http://schemas.microsoft.com/office/drawing/2014/main" id="{5817C6D7-9798-4EDD-AC63-63A135657E7F}"/>
            </a:ext>
          </a:extLst>
        </xdr:cNvPr>
        <xdr:cNvSpPr/>
      </xdr:nvSpPr>
      <xdr:spPr>
        <a:xfrm>
          <a:off x="2339340" y="807720"/>
          <a:ext cx="1920240" cy="32004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FC11CA47-947F-4144-8C51-6CDE6B0D2B19}" type="TxLink">
            <a:rPr lang="en-US" sz="1800" b="1" i="0" u="none" strike="noStrike">
              <a:solidFill>
                <a:srgbClr val="00B050"/>
              </a:solidFill>
              <a:latin typeface="Calibri"/>
              <a:ea typeface="Calibri"/>
              <a:cs typeface="Calibri"/>
            </a:rPr>
            <a:pPr algn="l"/>
            <a:t>2918</a:t>
          </a:fld>
          <a:endParaRPr lang="en-IN" sz="1800" b="1">
            <a:solidFill>
              <a:srgbClr val="00B05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320040</xdr:colOff>
          <xdr:row>6</xdr:row>
          <xdr:rowOff>7620</xdr:rowOff>
        </xdr:from>
        <xdr:to>
          <xdr:col>3</xdr:col>
          <xdr:colOff>289560</xdr:colOff>
          <xdr:row>7</xdr:row>
          <xdr:rowOff>167640</xdr:rowOff>
        </xdr:to>
        <xdr:pic>
          <xdr:nvPicPr>
            <xdr:cNvPr id="26" name="Picture 25">
              <a:extLst>
                <a:ext uri="{FF2B5EF4-FFF2-40B4-BE49-F238E27FC236}">
                  <a16:creationId xmlns:a16="http://schemas.microsoft.com/office/drawing/2014/main" id="{D4324664-DC61-B253-E765-969DBB328FAA}"/>
                </a:ext>
              </a:extLst>
            </xdr:cNvPr>
            <xdr:cNvPicPr>
              <a:picLocks noChangeAspect="1" noChangeArrowheads="1"/>
              <a:extLst>
                <a:ext uri="{84589F7E-364E-4C9E-8A38-B11213B215E9}">
                  <a14:cameraTool cellRange="Pivot!$B$51" spid="_x0000_s5518"/>
                </a:ext>
              </a:extLst>
            </xdr:cNvPicPr>
          </xdr:nvPicPr>
          <xdr:blipFill>
            <a:blip xmlns:r="http://schemas.openxmlformats.org/officeDocument/2006/relationships" r:embed="rId1"/>
            <a:srcRect/>
            <a:stretch>
              <a:fillRect/>
            </a:stretch>
          </xdr:blipFill>
          <xdr:spPr bwMode="auto">
            <a:xfrm>
              <a:off x="320040" y="1104900"/>
              <a:ext cx="1805940" cy="342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480060</xdr:colOff>
          <xdr:row>5</xdr:row>
          <xdr:rowOff>129541</xdr:rowOff>
        </xdr:from>
        <xdr:to>
          <xdr:col>6</xdr:col>
          <xdr:colOff>472440</xdr:colOff>
          <xdr:row>7</xdr:row>
          <xdr:rowOff>156157</xdr:rowOff>
        </xdr:to>
        <xdr:pic>
          <xdr:nvPicPr>
            <xdr:cNvPr id="27" name="Picture 26">
              <a:extLst>
                <a:ext uri="{FF2B5EF4-FFF2-40B4-BE49-F238E27FC236}">
                  <a16:creationId xmlns:a16="http://schemas.microsoft.com/office/drawing/2014/main" id="{A4F31073-43DF-E537-8496-CD643B814232}"/>
                </a:ext>
              </a:extLst>
            </xdr:cNvPr>
            <xdr:cNvPicPr>
              <a:picLocks noChangeAspect="1" noChangeArrowheads="1"/>
              <a:extLst>
                <a:ext uri="{84589F7E-364E-4C9E-8A38-B11213B215E9}">
                  <a14:cameraTool cellRange="Pivot!$C$51" spid="_x0000_s5519"/>
                </a:ext>
              </a:extLst>
            </xdr:cNvPicPr>
          </xdr:nvPicPr>
          <xdr:blipFill>
            <a:blip xmlns:r="http://schemas.openxmlformats.org/officeDocument/2006/relationships" r:embed="rId2"/>
            <a:srcRect/>
            <a:stretch>
              <a:fillRect/>
            </a:stretch>
          </xdr:blipFill>
          <xdr:spPr bwMode="auto">
            <a:xfrm>
              <a:off x="2308860" y="1043941"/>
              <a:ext cx="1821180" cy="39237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5</xdr:row>
          <xdr:rowOff>144781</xdr:rowOff>
        </xdr:from>
        <xdr:to>
          <xdr:col>10</xdr:col>
          <xdr:colOff>91440</xdr:colOff>
          <xdr:row>7</xdr:row>
          <xdr:rowOff>121921</xdr:rowOff>
        </xdr:to>
        <xdr:pic>
          <xdr:nvPicPr>
            <xdr:cNvPr id="28" name="Picture 27">
              <a:extLst>
                <a:ext uri="{FF2B5EF4-FFF2-40B4-BE49-F238E27FC236}">
                  <a16:creationId xmlns:a16="http://schemas.microsoft.com/office/drawing/2014/main" id="{D01DE8BE-6E6B-3289-DFD7-E68E7F9178BC}"/>
                </a:ext>
              </a:extLst>
            </xdr:cNvPr>
            <xdr:cNvPicPr>
              <a:picLocks noChangeAspect="1" noChangeArrowheads="1"/>
              <a:extLst>
                <a:ext uri="{84589F7E-364E-4C9E-8A38-B11213B215E9}">
                  <a14:cameraTool cellRange="Pivot!$D$51" spid="_x0000_s5520"/>
                </a:ext>
              </a:extLst>
            </xdr:cNvPicPr>
          </xdr:nvPicPr>
          <xdr:blipFill>
            <a:blip xmlns:r="http://schemas.openxmlformats.org/officeDocument/2006/relationships" r:embed="rId3"/>
            <a:srcRect/>
            <a:stretch>
              <a:fillRect/>
            </a:stretch>
          </xdr:blipFill>
          <xdr:spPr bwMode="auto">
            <a:xfrm>
              <a:off x="4328160" y="1059181"/>
              <a:ext cx="1859280" cy="342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457200</xdr:colOff>
      <xdr:row>7</xdr:row>
      <xdr:rowOff>152400</xdr:rowOff>
    </xdr:from>
    <xdr:to>
      <xdr:col>10</xdr:col>
      <xdr:colOff>175260</xdr:colOff>
      <xdr:row>17</xdr:row>
      <xdr:rowOff>53340</xdr:rowOff>
    </xdr:to>
    <xdr:graphicFrame macro="">
      <xdr:nvGraphicFramePr>
        <xdr:cNvPr id="30" name="Chart 29">
          <a:extLst>
            <a:ext uri="{FF2B5EF4-FFF2-40B4-BE49-F238E27FC236}">
              <a16:creationId xmlns:a16="http://schemas.microsoft.com/office/drawing/2014/main" id="{8DBCFB92-F110-4B01-A6A5-A4671F866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7</xdr:row>
      <xdr:rowOff>160020</xdr:rowOff>
    </xdr:from>
    <xdr:to>
      <xdr:col>5</xdr:col>
      <xdr:colOff>396240</xdr:colOff>
      <xdr:row>17</xdr:row>
      <xdr:rowOff>30480</xdr:rowOff>
    </xdr:to>
    <xdr:graphicFrame macro="">
      <xdr:nvGraphicFramePr>
        <xdr:cNvPr id="32" name="Chart 31">
          <a:extLst>
            <a:ext uri="{FF2B5EF4-FFF2-40B4-BE49-F238E27FC236}">
              <a16:creationId xmlns:a16="http://schemas.microsoft.com/office/drawing/2014/main" id="{707CD598-AFDE-43F9-9060-D27C36D7A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274320</xdr:colOff>
      <xdr:row>17</xdr:row>
      <xdr:rowOff>83820</xdr:rowOff>
    </xdr:from>
    <xdr:to>
      <xdr:col>3</xdr:col>
      <xdr:colOff>472440</xdr:colOff>
      <xdr:row>27</xdr:row>
      <xdr:rowOff>99060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88245398-83A1-489A-A484-A280DF5F48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4320" y="3192780"/>
              <a:ext cx="2034540" cy="1844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304800</xdr:colOff>
      <xdr:row>20</xdr:row>
      <xdr:rowOff>22860</xdr:rowOff>
    </xdr:from>
    <xdr:to>
      <xdr:col>14</xdr:col>
      <xdr:colOff>342900</xdr:colOff>
      <xdr:row>27</xdr:row>
      <xdr:rowOff>76200</xdr:rowOff>
    </xdr:to>
    <xdr:graphicFrame macro="">
      <xdr:nvGraphicFramePr>
        <xdr:cNvPr id="34" name="Chart 33">
          <a:extLst>
            <a:ext uri="{FF2B5EF4-FFF2-40B4-BE49-F238E27FC236}">
              <a16:creationId xmlns:a16="http://schemas.microsoft.com/office/drawing/2014/main" id="{248618EC-71B5-4E18-9D14-AA94E0C88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281940</xdr:colOff>
      <xdr:row>17</xdr:row>
      <xdr:rowOff>83820</xdr:rowOff>
    </xdr:from>
    <xdr:to>
      <xdr:col>10</xdr:col>
      <xdr:colOff>251460</xdr:colOff>
      <xdr:row>27</xdr:row>
      <xdr:rowOff>76200</xdr:rowOff>
    </xdr:to>
    <xdr:graphicFrame macro="">
      <xdr:nvGraphicFramePr>
        <xdr:cNvPr id="35" name="Chart 34">
          <a:extLst>
            <a:ext uri="{FF2B5EF4-FFF2-40B4-BE49-F238E27FC236}">
              <a16:creationId xmlns:a16="http://schemas.microsoft.com/office/drawing/2014/main" id="{2C2A5D39-446F-4E89-8150-E4C3812ED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472440</xdr:colOff>
      <xdr:row>17</xdr:row>
      <xdr:rowOff>76200</xdr:rowOff>
    </xdr:from>
    <xdr:to>
      <xdr:col>7</xdr:col>
      <xdr:colOff>266700</xdr:colOff>
      <xdr:row>27</xdr:row>
      <xdr:rowOff>91440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E27082D9-286C-4BF4-A704-DCA2FDEFFD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308860" y="3185160"/>
              <a:ext cx="2232660" cy="1844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289560</xdr:colOff>
      <xdr:row>2</xdr:row>
      <xdr:rowOff>99060</xdr:rowOff>
    </xdr:from>
    <xdr:to>
      <xdr:col>14</xdr:col>
      <xdr:colOff>327660</xdr:colOff>
      <xdr:row>19</xdr:row>
      <xdr:rowOff>160020</xdr:rowOff>
    </xdr:to>
    <xdr:sp macro="" textlink="">
      <xdr:nvSpPr>
        <xdr:cNvPr id="37" name="Rectangle 36">
          <a:extLst>
            <a:ext uri="{FF2B5EF4-FFF2-40B4-BE49-F238E27FC236}">
              <a16:creationId xmlns:a16="http://schemas.microsoft.com/office/drawing/2014/main" id="{11D90B49-033F-1CC6-70B4-0AF8C52053C2}"/>
            </a:ext>
          </a:extLst>
        </xdr:cNvPr>
        <xdr:cNvSpPr/>
      </xdr:nvSpPr>
      <xdr:spPr>
        <a:xfrm>
          <a:off x="6385560" y="464820"/>
          <a:ext cx="2476500" cy="31699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0000"/>
              </a:solidFill>
            </a:rPr>
            <a:t>Filters </a:t>
          </a:r>
        </a:p>
      </xdr:txBody>
    </xdr:sp>
    <xdr:clientData/>
  </xdr:twoCellAnchor>
  <xdr:twoCellAnchor editAs="oneCell">
    <xdr:from>
      <xdr:col>12</xdr:col>
      <xdr:colOff>236220</xdr:colOff>
      <xdr:row>5</xdr:row>
      <xdr:rowOff>7620</xdr:rowOff>
    </xdr:from>
    <xdr:to>
      <xdr:col>14</xdr:col>
      <xdr:colOff>274320</xdr:colOff>
      <xdr:row>9</xdr:row>
      <xdr:rowOff>175259</xdr:rowOff>
    </xdr:to>
    <mc:AlternateContent xmlns:mc="http://schemas.openxmlformats.org/markup-compatibility/2006" xmlns:a14="http://schemas.microsoft.com/office/drawing/2010/main">
      <mc:Choice Requires="a14">
        <xdr:graphicFrame macro="">
          <xdr:nvGraphicFramePr>
            <xdr:cNvPr id="39" name="Daytype">
              <a:extLst>
                <a:ext uri="{FF2B5EF4-FFF2-40B4-BE49-F238E27FC236}">
                  <a16:creationId xmlns:a16="http://schemas.microsoft.com/office/drawing/2014/main" id="{9499B5F6-DC17-4ADD-9D35-21DAE5617E4E}"/>
                </a:ext>
              </a:extLst>
            </xdr:cNvPr>
            <xdr:cNvGraphicFramePr/>
          </xdr:nvGraphicFramePr>
          <xdr:xfrm>
            <a:off x="0" y="0"/>
            <a:ext cx="0" cy="0"/>
          </xdr:xfrm>
          <a:graphic>
            <a:graphicData uri="http://schemas.microsoft.com/office/drawing/2010/slicer">
              <sle:slicer xmlns:sle="http://schemas.microsoft.com/office/drawing/2010/slicer" name="Daytype"/>
            </a:graphicData>
          </a:graphic>
        </xdr:graphicFrame>
      </mc:Choice>
      <mc:Fallback xmlns="">
        <xdr:sp macro="" textlink="">
          <xdr:nvSpPr>
            <xdr:cNvPr id="0" name=""/>
            <xdr:cNvSpPr>
              <a:spLocks noTextEdit="1"/>
            </xdr:cNvSpPr>
          </xdr:nvSpPr>
          <xdr:spPr>
            <a:xfrm>
              <a:off x="7559040" y="922020"/>
              <a:ext cx="12573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15</xdr:row>
      <xdr:rowOff>15240</xdr:rowOff>
    </xdr:from>
    <xdr:to>
      <xdr:col>14</xdr:col>
      <xdr:colOff>259080</xdr:colOff>
      <xdr:row>19</xdr:row>
      <xdr:rowOff>144780</xdr:rowOff>
    </xdr:to>
    <mc:AlternateContent xmlns:mc="http://schemas.openxmlformats.org/markup-compatibility/2006" xmlns:a14="http://schemas.microsoft.com/office/drawing/2010/main">
      <mc:Choice Requires="a14">
        <xdr:graphicFrame macro="">
          <xdr:nvGraphicFramePr>
            <xdr:cNvPr id="40" name="Weektype">
              <a:extLst>
                <a:ext uri="{FF2B5EF4-FFF2-40B4-BE49-F238E27FC236}">
                  <a16:creationId xmlns:a16="http://schemas.microsoft.com/office/drawing/2014/main" id="{483BEE8A-0E91-4DCC-B751-5700D76FA507}"/>
                </a:ext>
              </a:extLst>
            </xdr:cNvPr>
            <xdr:cNvGraphicFramePr/>
          </xdr:nvGraphicFramePr>
          <xdr:xfrm>
            <a:off x="0" y="0"/>
            <a:ext cx="0" cy="0"/>
          </xdr:xfrm>
          <a:graphic>
            <a:graphicData uri="http://schemas.microsoft.com/office/drawing/2010/slicer">
              <sle:slicer xmlns:sle="http://schemas.microsoft.com/office/drawing/2010/slicer" name="Weektype"/>
            </a:graphicData>
          </a:graphic>
        </xdr:graphicFrame>
      </mc:Choice>
      <mc:Fallback xmlns="">
        <xdr:sp macro="" textlink="">
          <xdr:nvSpPr>
            <xdr:cNvPr id="0" name=""/>
            <xdr:cNvSpPr>
              <a:spLocks noTextEdit="1"/>
            </xdr:cNvSpPr>
          </xdr:nvSpPr>
          <xdr:spPr>
            <a:xfrm>
              <a:off x="6423660" y="2758440"/>
              <a:ext cx="237744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9</xdr:row>
      <xdr:rowOff>175261</xdr:rowOff>
    </xdr:from>
    <xdr:to>
      <xdr:col>14</xdr:col>
      <xdr:colOff>297180</xdr:colOff>
      <xdr:row>14</xdr:row>
      <xdr:rowOff>175260</xdr:rowOff>
    </xdr:to>
    <mc:AlternateContent xmlns:mc="http://schemas.openxmlformats.org/markup-compatibility/2006" xmlns:a14="http://schemas.microsoft.com/office/drawing/2010/main">
      <mc:Choice Requires="a14">
        <xdr:graphicFrame macro="">
          <xdr:nvGraphicFramePr>
            <xdr:cNvPr id="41" name="Weather Type">
              <a:extLst>
                <a:ext uri="{FF2B5EF4-FFF2-40B4-BE49-F238E27FC236}">
                  <a16:creationId xmlns:a16="http://schemas.microsoft.com/office/drawing/2014/main" id="{23599927-3CAE-4922-A4F0-BA5C3E3E96BE}"/>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mlns="">
        <xdr:sp macro="" textlink="">
          <xdr:nvSpPr>
            <xdr:cNvPr id="0" name=""/>
            <xdr:cNvSpPr>
              <a:spLocks noTextEdit="1"/>
            </xdr:cNvSpPr>
          </xdr:nvSpPr>
          <xdr:spPr>
            <a:xfrm>
              <a:off x="6400800" y="1821181"/>
              <a:ext cx="24384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5</xdr:row>
      <xdr:rowOff>15240</xdr:rowOff>
    </xdr:from>
    <xdr:to>
      <xdr:col>12</xdr:col>
      <xdr:colOff>228600</xdr:colOff>
      <xdr:row>9</xdr:row>
      <xdr:rowOff>160019</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AB32095-B15C-4C83-8CF6-F798C4C17E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00800" y="929640"/>
              <a:ext cx="115062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342900</xdr:colOff>
      <xdr:row>2</xdr:row>
      <xdr:rowOff>114300</xdr:rowOff>
    </xdr:from>
    <xdr:to>
      <xdr:col>14</xdr:col>
      <xdr:colOff>289560</xdr:colOff>
      <xdr:row>4</xdr:row>
      <xdr:rowOff>30480</xdr:rowOff>
    </xdr:to>
    <xdr:sp macro="" textlink="">
      <xdr:nvSpPr>
        <xdr:cNvPr id="43" name="Rectangle 42">
          <a:extLst>
            <a:ext uri="{FF2B5EF4-FFF2-40B4-BE49-F238E27FC236}">
              <a16:creationId xmlns:a16="http://schemas.microsoft.com/office/drawing/2014/main" id="{90C08257-ED3D-5C17-7D8F-AADFACF35238}"/>
            </a:ext>
          </a:extLst>
        </xdr:cNvPr>
        <xdr:cNvSpPr/>
      </xdr:nvSpPr>
      <xdr:spPr>
        <a:xfrm>
          <a:off x="6446520" y="480060"/>
          <a:ext cx="2385060" cy="28194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1">
              <a:solidFill>
                <a:srgbClr val="7030A0"/>
              </a:solidFill>
            </a:rPr>
            <a:t>Choose Options</a:t>
          </a:r>
        </a:p>
      </xdr:txBody>
    </xdr:sp>
    <xdr:clientData/>
  </xdr:twoCellAnchor>
  <xdr:twoCellAnchor editAs="oneCell">
    <xdr:from>
      <xdr:col>10</xdr:col>
      <xdr:colOff>266700</xdr:colOff>
      <xdr:row>0</xdr:row>
      <xdr:rowOff>91440</xdr:rowOff>
    </xdr:from>
    <xdr:to>
      <xdr:col>14</xdr:col>
      <xdr:colOff>350520</xdr:colOff>
      <xdr:row>5</xdr:row>
      <xdr:rowOff>0</xdr:rowOff>
    </xdr:to>
    <xdr:pic>
      <xdr:nvPicPr>
        <xdr:cNvPr id="44" name="Picture 43">
          <a:extLst>
            <a:ext uri="{FF2B5EF4-FFF2-40B4-BE49-F238E27FC236}">
              <a16:creationId xmlns:a16="http://schemas.microsoft.com/office/drawing/2014/main" id="{AA5ABAB8-6A7B-C2EA-5291-12C74E36AB3C}"/>
            </a:ext>
          </a:extLst>
        </xdr:cNvPr>
        <xdr:cNvPicPr>
          <a:picLocks noChangeAspect="1"/>
        </xdr:cNvPicPr>
      </xdr:nvPicPr>
      <xdr:blipFill>
        <a:blip xmlns:r="http://schemas.openxmlformats.org/officeDocument/2006/relationships" r:embed="rId10"/>
        <a:stretch>
          <a:fillRect/>
        </a:stretch>
      </xdr:blipFill>
      <xdr:spPr>
        <a:xfrm>
          <a:off x="6370320" y="91440"/>
          <a:ext cx="2522220" cy="822960"/>
        </a:xfrm>
        <a:prstGeom prst="rect">
          <a:avLst/>
        </a:prstGeom>
      </xdr:spPr>
    </xdr:pic>
    <xdr:clientData/>
  </xdr:twoCellAnchor>
  <xdr:twoCellAnchor>
    <xdr:from>
      <xdr:col>0</xdr:col>
      <xdr:colOff>297181</xdr:colOff>
      <xdr:row>29</xdr:row>
      <xdr:rowOff>106680</xdr:rowOff>
    </xdr:from>
    <xdr:to>
      <xdr:col>7</xdr:col>
      <xdr:colOff>236220</xdr:colOff>
      <xdr:row>42</xdr:row>
      <xdr:rowOff>182879</xdr:rowOff>
    </xdr:to>
    <xdr:graphicFrame macro="">
      <xdr:nvGraphicFramePr>
        <xdr:cNvPr id="5" name="Chart 4">
          <a:extLst>
            <a:ext uri="{FF2B5EF4-FFF2-40B4-BE49-F238E27FC236}">
              <a16:creationId xmlns:a16="http://schemas.microsoft.com/office/drawing/2014/main" id="{CADA42FA-D317-4187-BE0E-9EAEBFB47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327661</xdr:colOff>
      <xdr:row>29</xdr:row>
      <xdr:rowOff>121920</xdr:rowOff>
    </xdr:from>
    <xdr:to>
      <xdr:col>14</xdr:col>
      <xdr:colOff>335280</xdr:colOff>
      <xdr:row>42</xdr:row>
      <xdr:rowOff>167639</xdr:rowOff>
    </xdr:to>
    <xdr:graphicFrame macro="">
      <xdr:nvGraphicFramePr>
        <xdr:cNvPr id="6" name="Chart 5">
          <a:extLst>
            <a:ext uri="{FF2B5EF4-FFF2-40B4-BE49-F238E27FC236}">
              <a16:creationId xmlns:a16="http://schemas.microsoft.com/office/drawing/2014/main" id="{FE6295AE-EC43-4F14-95E7-2CB9F91F8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251460</xdr:colOff>
      <xdr:row>27</xdr:row>
      <xdr:rowOff>129540</xdr:rowOff>
    </xdr:from>
    <xdr:to>
      <xdr:col>14</xdr:col>
      <xdr:colOff>350520</xdr:colOff>
      <xdr:row>29</xdr:row>
      <xdr:rowOff>99060</xdr:rowOff>
    </xdr:to>
    <xdr:sp macro="" textlink="">
      <xdr:nvSpPr>
        <xdr:cNvPr id="7" name="Rectangle: Rounded Corners 6">
          <a:extLst>
            <a:ext uri="{FF2B5EF4-FFF2-40B4-BE49-F238E27FC236}">
              <a16:creationId xmlns:a16="http://schemas.microsoft.com/office/drawing/2014/main" id="{89687026-24F7-46E4-88ED-9A6082E9BB82}"/>
            </a:ext>
          </a:extLst>
        </xdr:cNvPr>
        <xdr:cNvSpPr/>
      </xdr:nvSpPr>
      <xdr:spPr>
        <a:xfrm>
          <a:off x="251460" y="5067300"/>
          <a:ext cx="8641080" cy="3352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u="sng">
              <a:solidFill>
                <a:schemeClr val="accent2">
                  <a:lumMod val="75000"/>
                </a:schemeClr>
              </a:solidFill>
              <a:latin typeface="+mn-lt"/>
              <a:ea typeface="+mn-ea"/>
              <a:cs typeface="+mn-cs"/>
            </a:rPr>
            <a:t>Forecast &amp; Anamoly Detection                                                                                                                                                                                                                            </a:t>
          </a:r>
        </a:p>
      </xdr:txBody>
    </xdr:sp>
    <xdr:clientData/>
  </xdr:twoCellAnchor>
  <xdr:twoCellAnchor>
    <xdr:from>
      <xdr:col>0</xdr:col>
      <xdr:colOff>251460</xdr:colOff>
      <xdr:row>43</xdr:row>
      <xdr:rowOff>68580</xdr:rowOff>
    </xdr:from>
    <xdr:to>
      <xdr:col>14</xdr:col>
      <xdr:colOff>358140</xdr:colOff>
      <xdr:row>54</xdr:row>
      <xdr:rowOff>15240</xdr:rowOff>
    </xdr:to>
    <xdr:graphicFrame macro="">
      <xdr:nvGraphicFramePr>
        <xdr:cNvPr id="8" name="Chart 7">
          <a:extLst>
            <a:ext uri="{FF2B5EF4-FFF2-40B4-BE49-F238E27FC236}">
              <a16:creationId xmlns:a16="http://schemas.microsoft.com/office/drawing/2014/main" id="{FE7E2FFF-AC12-4F23-B2ED-20B53702B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160020</xdr:colOff>
      <xdr:row>98</xdr:row>
      <xdr:rowOff>22860</xdr:rowOff>
    </xdr:from>
    <xdr:to>
      <xdr:col>29</xdr:col>
      <xdr:colOff>464820</xdr:colOff>
      <xdr:row>109</xdr:row>
      <xdr:rowOff>87630</xdr:rowOff>
    </xdr:to>
    <xdr:graphicFrame macro="">
      <xdr:nvGraphicFramePr>
        <xdr:cNvPr id="2" name="Chart 1">
          <a:extLst>
            <a:ext uri="{FF2B5EF4-FFF2-40B4-BE49-F238E27FC236}">
              <a16:creationId xmlns:a16="http://schemas.microsoft.com/office/drawing/2014/main" id="{CB9615C3-B7BB-28DC-9997-6E1F20B03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99060</xdr:colOff>
      <xdr:row>0</xdr:row>
      <xdr:rowOff>87630</xdr:rowOff>
    </xdr:from>
    <xdr:to>
      <xdr:col>17</xdr:col>
      <xdr:colOff>451485</xdr:colOff>
      <xdr:row>20</xdr:row>
      <xdr:rowOff>97155</xdr:rowOff>
    </xdr:to>
    <xdr:graphicFrame macro="">
      <xdr:nvGraphicFramePr>
        <xdr:cNvPr id="2" name="Chart 1">
          <a:extLst>
            <a:ext uri="{FF2B5EF4-FFF2-40B4-BE49-F238E27FC236}">
              <a16:creationId xmlns:a16="http://schemas.microsoft.com/office/drawing/2014/main" id="{82E2FF0C-E992-A888-C671-24CC45B9E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160020</xdr:colOff>
      <xdr:row>0</xdr:row>
      <xdr:rowOff>80010</xdr:rowOff>
    </xdr:from>
    <xdr:to>
      <xdr:col>17</xdr:col>
      <xdr:colOff>512445</xdr:colOff>
      <xdr:row>20</xdr:row>
      <xdr:rowOff>89535</xdr:rowOff>
    </xdr:to>
    <xdr:graphicFrame macro="">
      <xdr:nvGraphicFramePr>
        <xdr:cNvPr id="2" name="Chart 1">
          <a:extLst>
            <a:ext uri="{FF2B5EF4-FFF2-40B4-BE49-F238E27FC236}">
              <a16:creationId xmlns:a16="http://schemas.microsoft.com/office/drawing/2014/main" id="{A0C54750-AE6E-E48F-61AC-BE40803CE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kant Goswami" refreshedDate="46303.623378124998" createdVersion="8" refreshedVersion="8" minRefreshableVersion="3" recordCount="96" xr:uid="{A4A8808B-7B3A-478B-A622-B36C1A68F1B1}">
  <cacheSource type="worksheet">
    <worksheetSource ref="A1:T97" sheet="Cleaned Data"/>
  </cacheSource>
  <cacheFields count="20">
    <cacheField name="instant" numFmtId="0">
      <sharedItems containsSemiMixedTypes="0" containsString="0" containsNumber="1" containsInteger="1" minValue="1" maxValue="96"/>
    </cacheField>
    <cacheField name="Date" numFmtId="0">
      <sharedItems count="45">
        <s v="01-Jan-2011"/>
        <s v="02-Jan-2011"/>
        <s v="03-Jan-2011"/>
        <s v="04-Jan-2011"/>
        <s v="05-Jan-2011"/>
        <s v="06-Jan-2011"/>
        <s v="07-Jan-2011"/>
        <s v="08-Jan-2011"/>
        <s v="09-Jan-2011"/>
        <s v="10-Jan-2011"/>
        <s v="11-Jan-2011"/>
        <s v="12-Jan-2011"/>
        <s v="13-Jan-2011"/>
        <s v="14-Jan-2011"/>
        <s v="15-Jan-2011"/>
        <s v="16-Jan-2011"/>
        <s v="17-Jan-2011"/>
        <s v="18-Jan-2011"/>
        <s v="19-Jan-2011"/>
        <s v="20-Jan-2011"/>
        <s v="21-Jan-2011"/>
        <s v="22-Jan-2011"/>
        <s v="23-Jan-2011"/>
        <s v="24-Jan-2011"/>
        <s v="25-Jan-2011"/>
        <s v="26-Jan-2011"/>
        <s v="27-Jan-2011"/>
        <s v="28-Jan-2011"/>
        <s v="29-Jan-2011"/>
        <s v="30-Jan-2011"/>
        <s v="31-Jan-2011"/>
        <s v="01-Feb-2011"/>
        <s v="02-Feb-2011"/>
        <s v="03-Feb-2011"/>
        <s v="04-Feb-2011"/>
        <s v="05-Feb-2011"/>
        <s v="06-Feb-2011"/>
        <s v="07-Feb-2011"/>
        <s v="08-Feb-2011"/>
        <s v="09-Feb-2011"/>
        <s v="10-Feb-2011"/>
        <s v="11-Feb-2011"/>
        <s v="12-Feb-2011"/>
        <s v="13-Feb-2011"/>
        <s v="14-Feb-2011"/>
      </sharedItems>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Month" numFmtId="0">
      <sharedItems count="2">
        <s v="Jan"/>
        <s v="Feb"/>
      </sharedItems>
    </cacheField>
    <cacheField name="hr" numFmtId="0">
      <sharedItems containsSemiMixedTypes="0" containsString="0" containsNumber="1" containsInteger="1" minValue="0" maxValue="22"/>
    </cacheField>
    <cacheField name="Pick Hours" numFmtId="0">
      <sharedItems containsSemiMixedTypes="0" containsString="0" containsNumber="1" containsInteger="1" minValue="0" maxValue="1"/>
    </cacheField>
    <cacheField name="Daytype" numFmtId="0">
      <sharedItems count="2">
        <s v="Holiday"/>
        <s v="Workday"/>
      </sharedItems>
    </cacheField>
    <cacheField name="weekday" numFmtId="0">
      <sharedItems containsSemiMixedTypes="0" containsString="0" containsNumber="1" containsInteger="1" minValue="0" maxValue="6"/>
    </cacheField>
    <cacheField name="Weektype" numFmtId="0">
      <sharedItems count="2">
        <s v="Weekend"/>
        <s v="Weekday"/>
      </sharedItems>
    </cacheField>
    <cacheField name="weathersit" numFmtId="0">
      <sharedItems containsSemiMixedTypes="0" containsString="0" containsNumber="1" containsInteger="1" minValue="1" maxValue="4"/>
    </cacheField>
    <cacheField name="Weather Type" numFmtId="0">
      <sharedItems count="4">
        <s v="Sunny Day"/>
        <s v="Cloudy Day"/>
        <s v="Rainy Day"/>
        <s v="Heavy Rain"/>
      </sharedItems>
    </cacheField>
    <cacheField name="temp" numFmtId="0">
      <sharedItems containsSemiMixedTypes="0" containsString="0" containsNumber="1" minValue="0.04" maxValue="0.46"/>
    </cacheField>
    <cacheField name="atemp" numFmtId="0">
      <sharedItems containsMixedTypes="1" containsNumber="1" minValue="0" maxValue="0.45450000000000002"/>
    </cacheField>
    <cacheField name="hum" numFmtId="0">
      <sharedItems containsSemiMixedTypes="0" containsString="0" containsNumber="1" minValue="0.36" maxValue="1"/>
    </cacheField>
    <cacheField name="windspeed" numFmtId="0">
      <sharedItems containsSemiMixedTypes="0" containsString="0" containsNumber="1" minValue="0" maxValue="0.44779999999999998"/>
    </cacheField>
    <cacheField name="casual" numFmtId="0">
      <sharedItems containsSemiMixedTypes="0" containsString="0" containsNumber="1" containsInteger="1" minValue="0" maxValue="11" count="12">
        <n v="3"/>
        <n v="0"/>
        <n v="9"/>
        <n v="4"/>
        <n v="7"/>
        <n v="5"/>
        <n v="8"/>
        <n v="1"/>
        <n v="2"/>
        <n v="6"/>
        <n v="11"/>
        <n v="10"/>
      </sharedItems>
    </cacheField>
    <cacheField name="registered" numFmtId="0">
      <sharedItems containsSemiMixedTypes="0" containsString="0" containsNumber="1" containsInteger="1" minValue="1" maxValue="223"/>
    </cacheField>
    <cacheField name="Total" numFmtId="0">
      <sharedItems containsSemiMixedTypes="0" containsString="0" containsNumber="1" containsInteger="1" minValue="1" maxValue="230" count="50">
        <n v="16"/>
        <n v="1"/>
        <n v="35"/>
        <n v="17"/>
        <n v="2"/>
        <n v="65"/>
        <n v="5"/>
        <n v="42"/>
        <n v="6"/>
        <n v="11"/>
        <n v="84"/>
        <n v="25"/>
        <n v="7"/>
        <n v="102"/>
        <n v="188"/>
        <n v="12"/>
        <n v="3"/>
        <n v="95"/>
        <n v="38"/>
        <n v="14"/>
        <n v="36"/>
        <n v="28"/>
        <n v="20"/>
        <n v="39"/>
        <n v="71"/>
        <n v="60"/>
        <n v="78"/>
        <n v="13"/>
        <n v="143"/>
        <n v="21"/>
        <n v="22"/>
        <n v="63"/>
        <n v="9"/>
        <n v="10"/>
        <n v="24"/>
        <n v="101"/>
        <n v="55"/>
        <n v="33"/>
        <n v="8"/>
        <n v="123"/>
        <n v="75"/>
        <n v="87"/>
        <n v="69"/>
        <n v="15"/>
        <n v="230"/>
        <n v="41"/>
        <n v="88"/>
        <n v="99"/>
        <n v="30"/>
        <n v="80"/>
      </sharedItems>
    </cacheField>
  </cacheFields>
  <extLst>
    <ext xmlns:x14="http://schemas.microsoft.com/office/spreadsheetml/2009/9/main" uri="{725AE2AE-9491-48be-B2B4-4EB974FC3084}">
      <x14:pivotCacheDefinition pivotCacheId="1921242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
    <x v="0"/>
    <n v="1"/>
    <n v="0"/>
    <x v="0"/>
    <x v="0"/>
    <n v="0"/>
    <n v="0"/>
    <x v="0"/>
    <n v="6"/>
    <x v="0"/>
    <n v="1"/>
    <x v="0"/>
    <n v="0.24"/>
    <n v="0.28789999999999999"/>
    <n v="0.81"/>
    <n v="0"/>
    <x v="0"/>
    <n v="13"/>
    <x v="0"/>
  </r>
  <r>
    <n v="2"/>
    <x v="0"/>
    <n v="1"/>
    <n v="0"/>
    <x v="0"/>
    <x v="0"/>
    <n v="5"/>
    <n v="0"/>
    <x v="0"/>
    <n v="6"/>
    <x v="0"/>
    <n v="2"/>
    <x v="1"/>
    <n v="0.24"/>
    <n v="0.2576"/>
    <n v="0.75"/>
    <n v="8.9599999999999999E-2"/>
    <x v="1"/>
    <n v="1"/>
    <x v="1"/>
  </r>
  <r>
    <n v="3"/>
    <x v="0"/>
    <n v="1"/>
    <n v="0"/>
    <x v="0"/>
    <x v="0"/>
    <n v="18"/>
    <n v="1"/>
    <x v="0"/>
    <n v="6"/>
    <x v="0"/>
    <n v="3"/>
    <x v="2"/>
    <n v="0.42"/>
    <n v="0.42420000000000002"/>
    <n v="0.88"/>
    <n v="0.25369999999999998"/>
    <x v="2"/>
    <n v="26"/>
    <x v="2"/>
  </r>
  <r>
    <n v="4"/>
    <x v="1"/>
    <n v="1"/>
    <n v="0"/>
    <x v="0"/>
    <x v="0"/>
    <n v="0"/>
    <n v="0"/>
    <x v="0"/>
    <n v="0"/>
    <x v="0"/>
    <n v="2"/>
    <x v="1"/>
    <n v="0.46"/>
    <n v="0.45450000000000002"/>
    <n v="0.88"/>
    <n v="0.29849999999999999"/>
    <x v="3"/>
    <n v="13"/>
    <x v="3"/>
  </r>
  <r>
    <n v="5"/>
    <x v="1"/>
    <n v="1"/>
    <n v="0"/>
    <x v="0"/>
    <x v="0"/>
    <n v="6"/>
    <n v="0"/>
    <x v="0"/>
    <n v="0"/>
    <x v="0"/>
    <n v="3"/>
    <x v="2"/>
    <n v="0.42"/>
    <n v="0.42420000000000002"/>
    <n v="0.77"/>
    <n v="0.29849999999999999"/>
    <x v="1"/>
    <n v="2"/>
    <x v="4"/>
  </r>
  <r>
    <n v="6"/>
    <x v="1"/>
    <n v="1"/>
    <n v="0"/>
    <x v="0"/>
    <x v="0"/>
    <n v="17"/>
    <n v="1"/>
    <x v="0"/>
    <n v="0"/>
    <x v="0"/>
    <n v="1"/>
    <x v="0"/>
    <n v="0.34"/>
    <n v="0.33329999999999999"/>
    <n v="0.56999999999999995"/>
    <n v="0.19400000000000001"/>
    <x v="4"/>
    <n v="58"/>
    <x v="5"/>
  </r>
  <r>
    <n v="7"/>
    <x v="2"/>
    <n v="1"/>
    <n v="0"/>
    <x v="0"/>
    <x v="0"/>
    <n v="0"/>
    <n v="0"/>
    <x v="1"/>
    <n v="1"/>
    <x v="1"/>
    <n v="1"/>
    <x v="0"/>
    <n v="0.22"/>
    <n v="0.19700000000000001"/>
    <n v="0.44"/>
    <n v="0.35820000000000002"/>
    <x v="1"/>
    <n v="5"/>
    <x v="6"/>
  </r>
  <r>
    <n v="8"/>
    <x v="3"/>
    <n v="1"/>
    <n v="0"/>
    <x v="0"/>
    <x v="0"/>
    <n v="0"/>
    <n v="0"/>
    <x v="0"/>
    <n v="2"/>
    <x v="1"/>
    <n v="1"/>
    <x v="0"/>
    <n v="0.16"/>
    <s v="null"/>
    <n v="0.55000000000000004"/>
    <n v="0.1045"/>
    <x v="1"/>
    <n v="5"/>
    <x v="6"/>
  </r>
  <r>
    <n v="9"/>
    <x v="3"/>
    <n v="1"/>
    <n v="0"/>
    <x v="0"/>
    <x v="0"/>
    <n v="10"/>
    <n v="0"/>
    <x v="1"/>
    <n v="2"/>
    <x v="1"/>
    <n v="2"/>
    <x v="1"/>
    <n v="0.16"/>
    <n v="0.13639999999999999"/>
    <n v="0.69"/>
    <n v="0.32840000000000003"/>
    <x v="5"/>
    <n v="37"/>
    <x v="7"/>
  </r>
  <r>
    <n v="10"/>
    <x v="4"/>
    <n v="1"/>
    <n v="0"/>
    <x v="0"/>
    <x v="0"/>
    <n v="0"/>
    <n v="0"/>
    <x v="1"/>
    <n v="3"/>
    <x v="1"/>
    <n v="1"/>
    <x v="0"/>
    <n v="0.2"/>
    <n v="0.2576"/>
    <n v="0.64"/>
    <n v="0"/>
    <x v="1"/>
    <n v="6"/>
    <x v="8"/>
  </r>
  <r>
    <n v="11"/>
    <x v="5"/>
    <n v="1"/>
    <n v="0"/>
    <x v="0"/>
    <x v="0"/>
    <n v="0"/>
    <n v="0"/>
    <x v="1"/>
    <n v="4"/>
    <x v="1"/>
    <n v="1"/>
    <x v="0"/>
    <n v="0.18"/>
    <n v="0.2424"/>
    <n v="0.55000000000000004"/>
    <n v="0"/>
    <x v="1"/>
    <n v="11"/>
    <x v="9"/>
  </r>
  <r>
    <n v="12"/>
    <x v="5"/>
    <n v="1"/>
    <n v="0"/>
    <x v="0"/>
    <x v="0"/>
    <n v="4"/>
    <n v="0"/>
    <x v="1"/>
    <n v="4"/>
    <x v="1"/>
    <n v="2"/>
    <x v="1"/>
    <n v="0.16"/>
    <n v="0.19700000000000001"/>
    <n v="0.64"/>
    <n v="8.9599999999999999E-2"/>
    <x v="1"/>
    <n v="1"/>
    <x v="1"/>
  </r>
  <r>
    <n v="13"/>
    <x v="6"/>
    <n v="1"/>
    <n v="0"/>
    <x v="0"/>
    <x v="0"/>
    <n v="0"/>
    <n v="0"/>
    <x v="0"/>
    <n v="5"/>
    <x v="1"/>
    <n v="2"/>
    <x v="1"/>
    <n v="0.2"/>
    <n v="0.19700000000000001"/>
    <n v="0.64"/>
    <n v="0.19400000000000001"/>
    <x v="3"/>
    <n v="13"/>
    <x v="3"/>
  </r>
  <r>
    <n v="14"/>
    <x v="6"/>
    <n v="1"/>
    <n v="0"/>
    <x v="0"/>
    <x v="0"/>
    <n v="5"/>
    <n v="0"/>
    <x v="0"/>
    <n v="5"/>
    <x v="1"/>
    <n v="3"/>
    <x v="2"/>
    <n v="0.22"/>
    <n v="0.2727"/>
    <n v="0.55000000000000004"/>
    <n v="0"/>
    <x v="1"/>
    <n v="5"/>
    <x v="6"/>
  </r>
  <r>
    <n v="15"/>
    <x v="6"/>
    <n v="1"/>
    <n v="0"/>
    <x v="0"/>
    <x v="0"/>
    <n v="7"/>
    <n v="0"/>
    <x v="0"/>
    <n v="5"/>
    <x v="1"/>
    <n v="1"/>
    <x v="0"/>
    <n v="0.2"/>
    <n v="0.21210000000000001"/>
    <n v="0.69"/>
    <n v="0.1343"/>
    <x v="6"/>
    <n v="76"/>
    <x v="10"/>
  </r>
  <r>
    <n v="16"/>
    <x v="7"/>
    <n v="1"/>
    <n v="0"/>
    <x v="0"/>
    <x v="0"/>
    <n v="0"/>
    <n v="0"/>
    <x v="0"/>
    <n v="6"/>
    <x v="0"/>
    <n v="2"/>
    <x v="1"/>
    <n v="0.18"/>
    <n v="0.19700000000000001"/>
    <n v="0.51"/>
    <n v="0.16420000000000001"/>
    <x v="7"/>
    <n v="24"/>
    <x v="11"/>
  </r>
  <r>
    <n v="17"/>
    <x v="7"/>
    <n v="1"/>
    <n v="0"/>
    <x v="0"/>
    <x v="0"/>
    <n v="3"/>
    <n v="0"/>
    <x v="0"/>
    <n v="6"/>
    <x v="0"/>
    <n v="3"/>
    <x v="2"/>
    <n v="0.18"/>
    <n v="0.19700000000000001"/>
    <n v="0.55000000000000004"/>
    <n v="0.16420000000000001"/>
    <x v="1"/>
    <n v="7"/>
    <x v="12"/>
  </r>
  <r>
    <n v="18"/>
    <x v="7"/>
    <n v="1"/>
    <n v="0"/>
    <x v="0"/>
    <x v="0"/>
    <n v="13"/>
    <n v="1"/>
    <x v="0"/>
    <n v="6"/>
    <x v="0"/>
    <n v="1"/>
    <x v="0"/>
    <n v="0.2"/>
    <n v="0.18179999999999999"/>
    <n v="0.44"/>
    <n v="0.32840000000000003"/>
    <x v="4"/>
    <n v="95"/>
    <x v="13"/>
  </r>
  <r>
    <n v="19"/>
    <x v="8"/>
    <n v="1"/>
    <n v="0"/>
    <x v="0"/>
    <x v="0"/>
    <n v="0"/>
    <n v="0"/>
    <x v="0"/>
    <n v="0"/>
    <x v="0"/>
    <n v="1"/>
    <x v="0"/>
    <n v="0.1"/>
    <n v="7.5800000000000006E-2"/>
    <n v="0.42"/>
    <n v="0.3881"/>
    <x v="7"/>
    <n v="24"/>
    <x v="11"/>
  </r>
  <r>
    <n v="20"/>
    <x v="9"/>
    <n v="1"/>
    <n v="0"/>
    <x v="0"/>
    <x v="0"/>
    <n v="0"/>
    <n v="0"/>
    <x v="1"/>
    <n v="1"/>
    <x v="1"/>
    <n v="1"/>
    <x v="0"/>
    <n v="0.12"/>
    <n v="0.1212"/>
    <n v="0.5"/>
    <n v="0.28360000000000002"/>
    <x v="8"/>
    <n v="3"/>
    <x v="6"/>
  </r>
  <r>
    <n v="21"/>
    <x v="9"/>
    <n v="1"/>
    <n v="0"/>
    <x v="0"/>
    <x v="0"/>
    <n v="8"/>
    <n v="0"/>
    <x v="1"/>
    <n v="1"/>
    <x v="1"/>
    <n v="2"/>
    <x v="1"/>
    <n v="0.12"/>
    <n v="0.1212"/>
    <n v="0.5"/>
    <n v="0.28360000000000002"/>
    <x v="3"/>
    <n v="184"/>
    <x v="14"/>
  </r>
  <r>
    <n v="22"/>
    <x v="10"/>
    <n v="1"/>
    <n v="0"/>
    <x v="0"/>
    <x v="0"/>
    <n v="0"/>
    <n v="0"/>
    <x v="1"/>
    <n v="2"/>
    <x v="1"/>
    <n v="1"/>
    <x v="0"/>
    <n v="0.14000000000000001"/>
    <n v="0.16669999999999999"/>
    <n v="0.59"/>
    <n v="0.1045"/>
    <x v="8"/>
    <n v="10"/>
    <x v="15"/>
  </r>
  <r>
    <n v="23"/>
    <x v="10"/>
    <n v="1"/>
    <n v="0"/>
    <x v="0"/>
    <x v="0"/>
    <n v="2"/>
    <n v="0"/>
    <x v="1"/>
    <n v="2"/>
    <x v="1"/>
    <n v="2"/>
    <x v="1"/>
    <n v="0.16"/>
    <n v="0.1515"/>
    <n v="0.55000000000000004"/>
    <n v="0.19400000000000001"/>
    <x v="1"/>
    <n v="3"/>
    <x v="16"/>
  </r>
  <r>
    <n v="24"/>
    <x v="10"/>
    <n v="1"/>
    <n v="0"/>
    <x v="0"/>
    <x v="0"/>
    <n v="18"/>
    <n v="1"/>
    <x v="1"/>
    <n v="2"/>
    <x v="1"/>
    <n v="3"/>
    <x v="2"/>
    <n v="0.16"/>
    <n v="0.18179999999999999"/>
    <n v="0.93"/>
    <n v="0.1045"/>
    <x v="7"/>
    <n v="94"/>
    <x v="17"/>
  </r>
  <r>
    <n v="25"/>
    <x v="11"/>
    <n v="1"/>
    <n v="0"/>
    <x v="0"/>
    <x v="0"/>
    <n v="0"/>
    <n v="0"/>
    <x v="1"/>
    <n v="3"/>
    <x v="1"/>
    <n v="2"/>
    <x v="1"/>
    <n v="0.16"/>
    <n v="0.19700000000000001"/>
    <n v="0.86"/>
    <n v="8.9599999999999999E-2"/>
    <x v="1"/>
    <n v="7"/>
    <x v="12"/>
  </r>
  <r>
    <n v="26"/>
    <x v="11"/>
    <n v="1"/>
    <n v="0"/>
    <x v="0"/>
    <x v="0"/>
    <n v="2"/>
    <n v="0"/>
    <x v="0"/>
    <n v="3"/>
    <x v="1"/>
    <n v="1"/>
    <x v="0"/>
    <n v="0.14000000000000001"/>
    <n v="0.1515"/>
    <n v="0.86"/>
    <n v="0.1343"/>
    <x v="1"/>
    <n v="1"/>
    <x v="1"/>
  </r>
  <r>
    <n v="27"/>
    <x v="12"/>
    <n v="1"/>
    <n v="0"/>
    <x v="0"/>
    <x v="0"/>
    <n v="0"/>
    <n v="0"/>
    <x v="1"/>
    <n v="4"/>
    <x v="1"/>
    <n v="1"/>
    <x v="0"/>
    <n v="0.14000000000000001"/>
    <n v="0.1212"/>
    <n v="0.59"/>
    <n v="0.28360000000000002"/>
    <x v="7"/>
    <n v="6"/>
    <x v="12"/>
  </r>
  <r>
    <n v="28"/>
    <x v="12"/>
    <n v="1"/>
    <n v="0"/>
    <x v="0"/>
    <x v="0"/>
    <n v="10"/>
    <n v="0"/>
    <x v="1"/>
    <n v="4"/>
    <x v="1"/>
    <n v="2"/>
    <x v="1"/>
    <n v="0.16"/>
    <n v="0.13639999999999999"/>
    <n v="0.5"/>
    <n v="0.35820000000000002"/>
    <x v="8"/>
    <n v="36"/>
    <x v="18"/>
  </r>
  <r>
    <n v="29"/>
    <x v="13"/>
    <n v="1"/>
    <n v="0"/>
    <x v="0"/>
    <x v="0"/>
    <n v="0"/>
    <n v="0"/>
    <x v="0"/>
    <n v="5"/>
    <x v="1"/>
    <n v="1"/>
    <x v="0"/>
    <n v="0.12"/>
    <n v="0.13639999999999999"/>
    <n v="0.5"/>
    <n v="0.19400000000000001"/>
    <x v="1"/>
    <n v="14"/>
    <x v="19"/>
  </r>
  <r>
    <n v="30"/>
    <x v="13"/>
    <n v="1"/>
    <n v="0"/>
    <x v="0"/>
    <x v="0"/>
    <n v="22"/>
    <n v="1"/>
    <x v="0"/>
    <n v="5"/>
    <x v="1"/>
    <n v="2"/>
    <x v="1"/>
    <n v="0.16"/>
    <n v="0.2273"/>
    <n v="0.69"/>
    <n v="0"/>
    <x v="8"/>
    <n v="34"/>
    <x v="20"/>
  </r>
  <r>
    <n v="31"/>
    <x v="14"/>
    <n v="1"/>
    <n v="0"/>
    <x v="0"/>
    <x v="0"/>
    <n v="0"/>
    <n v="0"/>
    <x v="0"/>
    <n v="6"/>
    <x v="0"/>
    <n v="1"/>
    <x v="0"/>
    <n v="0.18"/>
    <n v="0.2424"/>
    <n v="0.55000000000000004"/>
    <n v="0"/>
    <x v="0"/>
    <n v="25"/>
    <x v="21"/>
  </r>
  <r>
    <n v="32"/>
    <x v="14"/>
    <n v="1"/>
    <n v="0"/>
    <x v="0"/>
    <x v="0"/>
    <n v="1"/>
    <n v="0"/>
    <x v="0"/>
    <n v="6"/>
    <x v="0"/>
    <n v="2"/>
    <x v="1"/>
    <n v="0.16"/>
    <n v="0.19700000000000001"/>
    <n v="0.59"/>
    <n v="8.9599999999999999E-2"/>
    <x v="8"/>
    <n v="18"/>
    <x v="22"/>
  </r>
  <r>
    <n v="33"/>
    <x v="15"/>
    <n v="1"/>
    <n v="0"/>
    <x v="0"/>
    <x v="0"/>
    <n v="0"/>
    <n v="0"/>
    <x v="0"/>
    <n v="0"/>
    <x v="0"/>
    <n v="1"/>
    <x v="0"/>
    <n v="0.26"/>
    <n v="0.30299999999999999"/>
    <n v="0.56000000000000005"/>
    <n v="0"/>
    <x v="9"/>
    <n v="33"/>
    <x v="23"/>
  </r>
  <r>
    <n v="34"/>
    <x v="15"/>
    <n v="1"/>
    <n v="0"/>
    <x v="0"/>
    <x v="0"/>
    <n v="5"/>
    <n v="0"/>
    <x v="0"/>
    <n v="0"/>
    <x v="0"/>
    <n v="2"/>
    <x v="1"/>
    <n v="0.26"/>
    <n v="0.2576"/>
    <n v="0.56000000000000005"/>
    <n v="0.16420000000000001"/>
    <x v="7"/>
    <n v="1"/>
    <x v="4"/>
  </r>
  <r>
    <n v="35"/>
    <x v="16"/>
    <n v="1"/>
    <n v="0"/>
    <x v="0"/>
    <x v="0"/>
    <n v="0"/>
    <n v="0"/>
    <x v="1"/>
    <n v="1"/>
    <x v="1"/>
    <n v="2"/>
    <x v="1"/>
    <n v="0.2"/>
    <n v="0.19700000000000001"/>
    <n v="0.47"/>
    <n v="0.22389999999999999"/>
    <x v="7"/>
    <n v="16"/>
    <x v="3"/>
  </r>
  <r>
    <n v="36"/>
    <x v="16"/>
    <n v="1"/>
    <n v="0"/>
    <x v="0"/>
    <x v="0"/>
    <n v="17"/>
    <n v="1"/>
    <x v="1"/>
    <n v="1"/>
    <x v="1"/>
    <n v="1"/>
    <x v="0"/>
    <n v="0.2"/>
    <n v="0.19700000000000001"/>
    <n v="0.51"/>
    <n v="0.19400000000000001"/>
    <x v="3"/>
    <n v="67"/>
    <x v="24"/>
  </r>
  <r>
    <n v="37"/>
    <x v="16"/>
    <n v="1"/>
    <n v="0"/>
    <x v="0"/>
    <x v="0"/>
    <n v="19"/>
    <n v="1"/>
    <x v="0"/>
    <n v="1"/>
    <x v="1"/>
    <n v="3"/>
    <x v="2"/>
    <n v="0.18"/>
    <n v="0.18179999999999999"/>
    <n v="0.59"/>
    <n v="0.19400000000000001"/>
    <x v="8"/>
    <n v="58"/>
    <x v="25"/>
  </r>
  <r>
    <n v="38"/>
    <x v="17"/>
    <n v="1"/>
    <n v="0"/>
    <x v="0"/>
    <x v="0"/>
    <n v="12"/>
    <n v="1"/>
    <x v="1"/>
    <n v="2"/>
    <x v="1"/>
    <n v="2"/>
    <x v="1"/>
    <n v="0.2"/>
    <n v="0.18179999999999999"/>
    <n v="0.86"/>
    <n v="0.32840000000000003"/>
    <x v="1"/>
    <n v="3"/>
    <x v="16"/>
  </r>
  <r>
    <n v="39"/>
    <x v="18"/>
    <n v="1"/>
    <n v="0"/>
    <x v="0"/>
    <x v="0"/>
    <n v="0"/>
    <n v="0"/>
    <x v="1"/>
    <n v="3"/>
    <x v="1"/>
    <n v="2"/>
    <x v="1"/>
    <n v="0.22"/>
    <n v="0.2727"/>
    <n v="0.93"/>
    <n v="0"/>
    <x v="1"/>
    <n v="3"/>
    <x v="16"/>
  </r>
  <r>
    <n v="40"/>
    <x v="18"/>
    <n v="1"/>
    <n v="0"/>
    <x v="0"/>
    <x v="0"/>
    <n v="1"/>
    <n v="0"/>
    <x v="1"/>
    <n v="3"/>
    <x v="1"/>
    <n v="3"/>
    <x v="2"/>
    <n v="0.22"/>
    <n v="0.2273"/>
    <n v="0.93"/>
    <n v="0.1343"/>
    <x v="7"/>
    <n v="6"/>
    <x v="12"/>
  </r>
  <r>
    <n v="41"/>
    <x v="18"/>
    <n v="1"/>
    <n v="0"/>
    <x v="0"/>
    <x v="0"/>
    <n v="13"/>
    <n v="1"/>
    <x v="1"/>
    <n v="3"/>
    <x v="1"/>
    <n v="1"/>
    <x v="0"/>
    <n v="0.4"/>
    <n v="0.40910000000000002"/>
    <n v="0.62"/>
    <n v="0.28360000000000002"/>
    <x v="10"/>
    <n v="67"/>
    <x v="26"/>
  </r>
  <r>
    <n v="42"/>
    <x v="19"/>
    <n v="1"/>
    <n v="0"/>
    <x v="0"/>
    <x v="0"/>
    <n v="0"/>
    <n v="0"/>
    <x v="1"/>
    <n v="4"/>
    <x v="1"/>
    <n v="1"/>
    <x v="0"/>
    <n v="0.26"/>
    <n v="0.2273"/>
    <n v="0.56000000000000005"/>
    <n v="0.3881"/>
    <x v="5"/>
    <n v="8"/>
    <x v="27"/>
  </r>
  <r>
    <n v="43"/>
    <x v="19"/>
    <n v="1"/>
    <n v="0"/>
    <x v="0"/>
    <x v="0"/>
    <n v="9"/>
    <n v="0"/>
    <x v="1"/>
    <n v="4"/>
    <x v="1"/>
    <n v="2"/>
    <x v="1"/>
    <n v="0.24"/>
    <n v="0.2273"/>
    <n v="0.52"/>
    <n v="0.22389999999999999"/>
    <x v="0"/>
    <n v="140"/>
    <x v="28"/>
  </r>
  <r>
    <n v="44"/>
    <x v="20"/>
    <n v="1"/>
    <n v="0"/>
    <x v="0"/>
    <x v="0"/>
    <n v="0"/>
    <n v="0"/>
    <x v="0"/>
    <n v="5"/>
    <x v="1"/>
    <n v="2"/>
    <x v="1"/>
    <n v="0.24"/>
    <n v="0.2273"/>
    <n v="0.7"/>
    <n v="0.25369999999999998"/>
    <x v="7"/>
    <n v="20"/>
    <x v="29"/>
  </r>
  <r>
    <n v="45"/>
    <x v="20"/>
    <n v="1"/>
    <n v="0"/>
    <x v="0"/>
    <x v="0"/>
    <n v="2"/>
    <n v="0"/>
    <x v="0"/>
    <n v="5"/>
    <x v="1"/>
    <n v="3"/>
    <x v="2"/>
    <n v="0.24"/>
    <n v="0.2424"/>
    <n v="0.75"/>
    <n v="0.16420000000000001"/>
    <x v="1"/>
    <n v="2"/>
    <x v="4"/>
  </r>
  <r>
    <n v="46"/>
    <x v="20"/>
    <n v="1"/>
    <n v="0"/>
    <x v="0"/>
    <x v="0"/>
    <n v="5"/>
    <n v="0"/>
    <x v="0"/>
    <n v="5"/>
    <x v="1"/>
    <n v="1"/>
    <x v="0"/>
    <n v="0.24"/>
    <n v="0.19700000000000001"/>
    <n v="0.6"/>
    <n v="0.41789999999999999"/>
    <x v="7"/>
    <n v="4"/>
    <x v="6"/>
  </r>
  <r>
    <n v="47"/>
    <x v="21"/>
    <n v="1"/>
    <n v="0"/>
    <x v="0"/>
    <x v="0"/>
    <n v="0"/>
    <n v="0"/>
    <x v="0"/>
    <n v="6"/>
    <x v="0"/>
    <n v="1"/>
    <x v="0"/>
    <n v="0.04"/>
    <n v="3.0300000000000001E-2"/>
    <n v="0.45"/>
    <n v="0.25369999999999998"/>
    <x v="1"/>
    <n v="13"/>
    <x v="27"/>
  </r>
  <r>
    <n v="48"/>
    <x v="21"/>
    <n v="1"/>
    <n v="0"/>
    <x v="0"/>
    <x v="0"/>
    <n v="1"/>
    <n v="0"/>
    <x v="0"/>
    <n v="6"/>
    <x v="0"/>
    <n v="2"/>
    <x v="1"/>
    <n v="0.04"/>
    <n v="0"/>
    <n v="0.41"/>
    <n v="0.3881"/>
    <x v="0"/>
    <n v="9"/>
    <x v="15"/>
  </r>
  <r>
    <n v="49"/>
    <x v="22"/>
    <n v="1"/>
    <n v="0"/>
    <x v="0"/>
    <x v="0"/>
    <n v="0"/>
    <n v="0"/>
    <x v="0"/>
    <n v="0"/>
    <x v="0"/>
    <n v="1"/>
    <x v="0"/>
    <n v="0.04"/>
    <n v="7.5800000000000006E-2"/>
    <n v="0.56999999999999995"/>
    <n v="0.1045"/>
    <x v="8"/>
    <n v="20"/>
    <x v="30"/>
  </r>
  <r>
    <n v="50"/>
    <x v="22"/>
    <n v="1"/>
    <n v="0"/>
    <x v="0"/>
    <x v="0"/>
    <n v="5"/>
    <n v="0"/>
    <x v="0"/>
    <n v="0"/>
    <x v="0"/>
    <n v="2"/>
    <x v="1"/>
    <n v="0.04"/>
    <n v="7.5800000000000006E-2"/>
    <n v="0.56999999999999995"/>
    <n v="0.1045"/>
    <x v="1"/>
    <n v="3"/>
    <x v="16"/>
  </r>
  <r>
    <n v="51"/>
    <x v="23"/>
    <n v="1"/>
    <n v="0"/>
    <x v="0"/>
    <x v="0"/>
    <n v="0"/>
    <n v="0"/>
    <x v="1"/>
    <n v="1"/>
    <x v="1"/>
    <n v="1"/>
    <x v="0"/>
    <n v="0.06"/>
    <n v="6.0600000000000001E-2"/>
    <n v="0.41"/>
    <n v="0.19400000000000001"/>
    <x v="1"/>
    <n v="7"/>
    <x v="12"/>
  </r>
  <r>
    <n v="52"/>
    <x v="23"/>
    <n v="1"/>
    <n v="0"/>
    <x v="0"/>
    <x v="0"/>
    <n v="12"/>
    <n v="1"/>
    <x v="1"/>
    <n v="1"/>
    <x v="1"/>
    <n v="2"/>
    <x v="1"/>
    <n v="0.12"/>
    <n v="0.13639999999999999"/>
    <n v="0.42"/>
    <n v="0.19400000000000001"/>
    <x v="10"/>
    <n v="52"/>
    <x v="31"/>
  </r>
  <r>
    <n v="53"/>
    <x v="24"/>
    <n v="1"/>
    <n v="0"/>
    <x v="0"/>
    <x v="0"/>
    <n v="0"/>
    <n v="0"/>
    <x v="0"/>
    <n v="2"/>
    <x v="1"/>
    <n v="2"/>
    <x v="1"/>
    <n v="0.16"/>
    <n v="0.13639999999999999"/>
    <n v="0.69"/>
    <n v="0.28360000000000002"/>
    <x v="0"/>
    <n v="6"/>
    <x v="32"/>
  </r>
  <r>
    <n v="54"/>
    <x v="24"/>
    <n v="1"/>
    <n v="0"/>
    <x v="0"/>
    <x v="0"/>
    <n v="2"/>
    <n v="0"/>
    <x v="1"/>
    <n v="2"/>
    <x v="1"/>
    <n v="1"/>
    <x v="0"/>
    <n v="0.16"/>
    <n v="0.1515"/>
    <n v="0.69"/>
    <n v="0.22389999999999999"/>
    <x v="1"/>
    <n v="2"/>
    <x v="4"/>
  </r>
  <r>
    <n v="55"/>
    <x v="25"/>
    <n v="1"/>
    <n v="0"/>
    <x v="0"/>
    <x v="0"/>
    <n v="0"/>
    <n v="0"/>
    <x v="1"/>
    <n v="3"/>
    <x v="1"/>
    <n v="2"/>
    <x v="1"/>
    <n v="0.22"/>
    <n v="0.2273"/>
    <n v="0.69"/>
    <n v="0.1343"/>
    <x v="0"/>
    <n v="14"/>
    <x v="3"/>
  </r>
  <r>
    <n v="56"/>
    <x v="25"/>
    <n v="1"/>
    <n v="0"/>
    <x v="0"/>
    <x v="0"/>
    <n v="2"/>
    <n v="0"/>
    <x v="1"/>
    <n v="3"/>
    <x v="1"/>
    <n v="3"/>
    <x v="2"/>
    <n v="0.22"/>
    <n v="0.2273"/>
    <n v="0.69"/>
    <n v="0.19400000000000001"/>
    <x v="0"/>
    <n v="7"/>
    <x v="33"/>
  </r>
  <r>
    <n v="57"/>
    <x v="25"/>
    <n v="1"/>
    <n v="0"/>
    <x v="0"/>
    <x v="0"/>
    <n v="16"/>
    <n v="1"/>
    <x v="1"/>
    <n v="3"/>
    <x v="1"/>
    <n v="4"/>
    <x v="3"/>
    <n v="0.22"/>
    <n v="0.19700000000000001"/>
    <n v="0.93"/>
    <n v="0.32840000000000003"/>
    <x v="7"/>
    <n v="35"/>
    <x v="20"/>
  </r>
  <r>
    <n v="58"/>
    <x v="26"/>
    <n v="1"/>
    <n v="0"/>
    <x v="0"/>
    <x v="0"/>
    <n v="16"/>
    <n v="1"/>
    <x v="1"/>
    <n v="4"/>
    <x v="1"/>
    <n v="1"/>
    <x v="0"/>
    <n v="0.22"/>
    <n v="0.2273"/>
    <n v="0.55000000000000004"/>
    <n v="0.19400000000000001"/>
    <x v="7"/>
    <n v="23"/>
    <x v="34"/>
  </r>
  <r>
    <n v="59"/>
    <x v="27"/>
    <n v="1"/>
    <n v="0"/>
    <x v="0"/>
    <x v="0"/>
    <n v="0"/>
    <n v="0"/>
    <x v="0"/>
    <n v="5"/>
    <x v="1"/>
    <n v="2"/>
    <x v="1"/>
    <n v="0.2"/>
    <n v="0.21210000000000001"/>
    <n v="0.75"/>
    <n v="0.1343"/>
    <x v="1"/>
    <n v="9"/>
    <x v="32"/>
  </r>
  <r>
    <n v="60"/>
    <x v="27"/>
    <n v="1"/>
    <n v="0"/>
    <x v="0"/>
    <x v="0"/>
    <n v="9"/>
    <n v="0"/>
    <x v="0"/>
    <n v="5"/>
    <x v="1"/>
    <n v="3"/>
    <x v="2"/>
    <n v="0.18"/>
    <n v="0.21210000000000001"/>
    <n v="0.86"/>
    <n v="8.9599999999999999E-2"/>
    <x v="9"/>
    <n v="95"/>
    <x v="35"/>
  </r>
  <r>
    <n v="61"/>
    <x v="28"/>
    <n v="1"/>
    <n v="0"/>
    <x v="0"/>
    <x v="0"/>
    <n v="1"/>
    <n v="0"/>
    <x v="0"/>
    <n v="6"/>
    <x v="0"/>
    <n v="1"/>
    <x v="0"/>
    <n v="0.22"/>
    <n v="0.2273"/>
    <n v="0.64"/>
    <n v="0.19400000000000001"/>
    <x v="1"/>
    <n v="20"/>
    <x v="22"/>
  </r>
  <r>
    <n v="62"/>
    <x v="28"/>
    <n v="1"/>
    <n v="0"/>
    <x v="0"/>
    <x v="0"/>
    <n v="10"/>
    <n v="0"/>
    <x v="0"/>
    <n v="6"/>
    <x v="0"/>
    <n v="2"/>
    <x v="1"/>
    <n v="0.18"/>
    <n v="0.21210000000000001"/>
    <n v="0.64"/>
    <n v="0.1045"/>
    <x v="3"/>
    <n v="51"/>
    <x v="36"/>
  </r>
  <r>
    <n v="63"/>
    <x v="29"/>
    <n v="1"/>
    <n v="0"/>
    <x v="0"/>
    <x v="0"/>
    <n v="0"/>
    <n v="0"/>
    <x v="0"/>
    <n v="0"/>
    <x v="0"/>
    <n v="1"/>
    <x v="0"/>
    <n v="0.16"/>
    <n v="0.18179999999999999"/>
    <n v="0.8"/>
    <n v="0.1045"/>
    <x v="1"/>
    <n v="33"/>
    <x v="37"/>
  </r>
  <r>
    <n v="64"/>
    <x v="29"/>
    <n v="1"/>
    <n v="0"/>
    <x v="0"/>
    <x v="0"/>
    <n v="8"/>
    <n v="0"/>
    <x v="0"/>
    <n v="0"/>
    <x v="0"/>
    <n v="2"/>
    <x v="1"/>
    <n v="0.14000000000000001"/>
    <n v="0.21210000000000001"/>
    <n v="0.86"/>
    <n v="0"/>
    <x v="7"/>
    <n v="11"/>
    <x v="15"/>
  </r>
  <r>
    <n v="65"/>
    <x v="30"/>
    <n v="1"/>
    <n v="0"/>
    <x v="0"/>
    <x v="0"/>
    <n v="0"/>
    <n v="0"/>
    <x v="1"/>
    <n v="1"/>
    <x v="1"/>
    <n v="2"/>
    <x v="1"/>
    <n v="0.24"/>
    <n v="0.2273"/>
    <n v="0.65"/>
    <n v="0.22389999999999999"/>
    <x v="7"/>
    <n v="6"/>
    <x v="12"/>
  </r>
  <r>
    <n v="66"/>
    <x v="30"/>
    <n v="1"/>
    <n v="0"/>
    <x v="0"/>
    <x v="0"/>
    <n v="1"/>
    <n v="0"/>
    <x v="1"/>
    <n v="1"/>
    <x v="1"/>
    <n v="1"/>
    <x v="0"/>
    <n v="0.22"/>
    <n v="0.21210000000000001"/>
    <n v="0.64"/>
    <n v="0.25369999999999998"/>
    <x v="8"/>
    <n v="5"/>
    <x v="12"/>
  </r>
  <r>
    <n v="67"/>
    <x v="30"/>
    <n v="1"/>
    <n v="0"/>
    <x v="0"/>
    <x v="0"/>
    <n v="20"/>
    <n v="1"/>
    <x v="1"/>
    <n v="1"/>
    <x v="1"/>
    <n v="3"/>
    <x v="2"/>
    <n v="0.16"/>
    <n v="0.16669999999999999"/>
    <n v="0.59"/>
    <n v="0.16420000000000001"/>
    <x v="1"/>
    <n v="78"/>
    <x v="26"/>
  </r>
  <r>
    <n v="68"/>
    <x v="31"/>
    <n v="1"/>
    <n v="0"/>
    <x v="1"/>
    <x v="1"/>
    <n v="0"/>
    <n v="0"/>
    <x v="1"/>
    <n v="2"/>
    <x v="1"/>
    <n v="2"/>
    <x v="1"/>
    <n v="0.16"/>
    <n v="0.18179999999999999"/>
    <n v="0.64"/>
    <n v="0.1045"/>
    <x v="8"/>
    <n v="6"/>
    <x v="38"/>
  </r>
  <r>
    <n v="69"/>
    <x v="31"/>
    <n v="1"/>
    <n v="0"/>
    <x v="1"/>
    <x v="1"/>
    <n v="5"/>
    <n v="0"/>
    <x v="1"/>
    <n v="2"/>
    <x v="1"/>
    <n v="3"/>
    <x v="2"/>
    <n v="0.14000000000000001"/>
    <n v="0.21210000000000001"/>
    <n v="0.93"/>
    <n v="0"/>
    <x v="1"/>
    <n v="3"/>
    <x v="16"/>
  </r>
  <r>
    <n v="70"/>
    <x v="32"/>
    <n v="1"/>
    <n v="0"/>
    <x v="1"/>
    <x v="1"/>
    <n v="0"/>
    <n v="0"/>
    <x v="1"/>
    <n v="3"/>
    <x v="1"/>
    <n v="3"/>
    <x v="2"/>
    <n v="0.22"/>
    <n v="0.2424"/>
    <n v="0.93"/>
    <n v="0.1045"/>
    <x v="1"/>
    <n v="2"/>
    <x v="4"/>
  </r>
  <r>
    <n v="71"/>
    <x v="32"/>
    <n v="1"/>
    <n v="0"/>
    <x v="1"/>
    <x v="1"/>
    <n v="9"/>
    <n v="0"/>
    <x v="1"/>
    <n v="3"/>
    <x v="1"/>
    <n v="2"/>
    <x v="1"/>
    <n v="0.24"/>
    <n v="0.2576"/>
    <n v="0.93"/>
    <n v="8.9599999999999999E-2"/>
    <x v="3"/>
    <n v="119"/>
    <x v="39"/>
  </r>
  <r>
    <n v="72"/>
    <x v="32"/>
    <n v="1"/>
    <n v="0"/>
    <x v="1"/>
    <x v="1"/>
    <n v="13"/>
    <n v="1"/>
    <x v="1"/>
    <n v="3"/>
    <x v="1"/>
    <n v="1"/>
    <x v="0"/>
    <n v="0.34"/>
    <n v="0.33329999999999999"/>
    <n v="0.93"/>
    <n v="0.16420000000000001"/>
    <x v="7"/>
    <n v="74"/>
    <x v="40"/>
  </r>
  <r>
    <n v="73"/>
    <x v="33"/>
    <n v="1"/>
    <n v="0"/>
    <x v="1"/>
    <x v="1"/>
    <n v="0"/>
    <n v="0"/>
    <x v="1"/>
    <n v="4"/>
    <x v="1"/>
    <n v="1"/>
    <x v="0"/>
    <n v="0.2"/>
    <n v="0.16669999999999999"/>
    <n v="0.4"/>
    <n v="0.44779999999999998"/>
    <x v="7"/>
    <n v="11"/>
    <x v="15"/>
  </r>
  <r>
    <n v="74"/>
    <x v="34"/>
    <n v="1"/>
    <n v="0"/>
    <x v="1"/>
    <x v="1"/>
    <n v="0"/>
    <n v="0"/>
    <x v="0"/>
    <n v="5"/>
    <x v="1"/>
    <n v="2"/>
    <x v="1"/>
    <n v="0.2"/>
    <n v="0.2576"/>
    <n v="0.44"/>
    <n v="0"/>
    <x v="0"/>
    <n v="10"/>
    <x v="27"/>
  </r>
  <r>
    <n v="75"/>
    <x v="34"/>
    <n v="1"/>
    <n v="0"/>
    <x v="1"/>
    <x v="1"/>
    <n v="7"/>
    <n v="0"/>
    <x v="0"/>
    <n v="5"/>
    <x v="1"/>
    <n v="1"/>
    <x v="0"/>
    <n v="0.14000000000000001"/>
    <n v="0.21210000000000001"/>
    <n v="0.59"/>
    <n v="0"/>
    <x v="1"/>
    <n v="87"/>
    <x v="41"/>
  </r>
  <r>
    <n v="76"/>
    <x v="35"/>
    <n v="1"/>
    <n v="0"/>
    <x v="1"/>
    <x v="1"/>
    <n v="0"/>
    <n v="0"/>
    <x v="0"/>
    <n v="6"/>
    <x v="0"/>
    <n v="2"/>
    <x v="1"/>
    <n v="0.24"/>
    <n v="0.2424"/>
    <n v="0.7"/>
    <n v="0.16420000000000001"/>
    <x v="0"/>
    <n v="36"/>
    <x v="23"/>
  </r>
  <r>
    <n v="77"/>
    <x v="35"/>
    <n v="1"/>
    <n v="0"/>
    <x v="1"/>
    <x v="1"/>
    <n v="4"/>
    <n v="0"/>
    <x v="0"/>
    <n v="6"/>
    <x v="0"/>
    <n v="3"/>
    <x v="2"/>
    <n v="0.22"/>
    <n v="0.2273"/>
    <n v="0.93"/>
    <n v="0.1343"/>
    <x v="1"/>
    <n v="8"/>
    <x v="38"/>
  </r>
  <r>
    <n v="78"/>
    <x v="35"/>
    <n v="1"/>
    <n v="0"/>
    <x v="1"/>
    <x v="1"/>
    <n v="20"/>
    <n v="1"/>
    <x v="0"/>
    <n v="6"/>
    <x v="0"/>
    <n v="1"/>
    <x v="0"/>
    <n v="0.3"/>
    <n v="0.28789999999999999"/>
    <n v="0.87"/>
    <n v="0.25369999999999998"/>
    <x v="5"/>
    <n v="64"/>
    <x v="42"/>
  </r>
  <r>
    <n v="79"/>
    <x v="36"/>
    <n v="1"/>
    <n v="0"/>
    <x v="1"/>
    <x v="1"/>
    <n v="0"/>
    <n v="0"/>
    <x v="0"/>
    <n v="0"/>
    <x v="0"/>
    <n v="1"/>
    <x v="0"/>
    <n v="0.26"/>
    <n v="0.2576"/>
    <n v="0.7"/>
    <n v="0.19400000000000001"/>
    <x v="8"/>
    <n v="37"/>
    <x v="23"/>
  </r>
  <r>
    <n v="80"/>
    <x v="37"/>
    <n v="1"/>
    <n v="0"/>
    <x v="1"/>
    <x v="1"/>
    <n v="0"/>
    <n v="0"/>
    <x v="0"/>
    <n v="1"/>
    <x v="1"/>
    <n v="1"/>
    <x v="0"/>
    <n v="0.24"/>
    <n v="0.28789999999999999"/>
    <n v="0.65"/>
    <n v="0"/>
    <x v="7"/>
    <n v="14"/>
    <x v="43"/>
  </r>
  <r>
    <n v="81"/>
    <x v="37"/>
    <n v="1"/>
    <n v="0"/>
    <x v="1"/>
    <x v="1"/>
    <n v="8"/>
    <n v="0"/>
    <x v="1"/>
    <n v="1"/>
    <x v="1"/>
    <n v="2"/>
    <x v="1"/>
    <n v="0.16"/>
    <n v="0.2273"/>
    <n v="1"/>
    <n v="0"/>
    <x v="4"/>
    <n v="223"/>
    <x v="44"/>
  </r>
  <r>
    <n v="82"/>
    <x v="38"/>
    <n v="1"/>
    <n v="0"/>
    <x v="1"/>
    <x v="1"/>
    <n v="0"/>
    <n v="0"/>
    <x v="1"/>
    <n v="2"/>
    <x v="1"/>
    <n v="2"/>
    <x v="1"/>
    <n v="0.28000000000000003"/>
    <n v="0.31819999999999998"/>
    <n v="0.87"/>
    <n v="0"/>
    <x v="3"/>
    <n v="6"/>
    <x v="33"/>
  </r>
  <r>
    <n v="83"/>
    <x v="38"/>
    <n v="1"/>
    <n v="0"/>
    <x v="1"/>
    <x v="1"/>
    <n v="3"/>
    <n v="0"/>
    <x v="1"/>
    <n v="2"/>
    <x v="1"/>
    <n v="3"/>
    <x v="2"/>
    <n v="0.28000000000000003"/>
    <n v="0.2727"/>
    <n v="0.93"/>
    <n v="0.16420000000000001"/>
    <x v="1"/>
    <n v="1"/>
    <x v="1"/>
  </r>
  <r>
    <n v="84"/>
    <x v="38"/>
    <n v="1"/>
    <n v="0"/>
    <x v="1"/>
    <x v="1"/>
    <n v="4"/>
    <n v="0"/>
    <x v="1"/>
    <n v="2"/>
    <x v="1"/>
    <n v="1"/>
    <x v="0"/>
    <n v="0.26"/>
    <n v="0.2576"/>
    <n v="0.93"/>
    <n v="0.16420000000000001"/>
    <x v="1"/>
    <n v="3"/>
    <x v="16"/>
  </r>
  <r>
    <n v="85"/>
    <x v="39"/>
    <n v="1"/>
    <n v="0"/>
    <x v="1"/>
    <x v="1"/>
    <n v="0"/>
    <n v="0"/>
    <x v="1"/>
    <n v="3"/>
    <x v="1"/>
    <n v="1"/>
    <x v="0"/>
    <n v="0.1"/>
    <n v="7.5800000000000006E-2"/>
    <n v="0.36"/>
    <n v="0.35820000000000002"/>
    <x v="1"/>
    <n v="17"/>
    <x v="3"/>
  </r>
  <r>
    <n v="86"/>
    <x v="39"/>
    <n v="1"/>
    <n v="0"/>
    <x v="1"/>
    <x v="1"/>
    <n v="11"/>
    <n v="1"/>
    <x v="1"/>
    <n v="3"/>
    <x v="1"/>
    <n v="2"/>
    <x v="1"/>
    <n v="0.14000000000000001"/>
    <n v="0.1515"/>
    <n v="0.43"/>
    <n v="0.16420000000000001"/>
    <x v="7"/>
    <n v="40"/>
    <x v="45"/>
  </r>
  <r>
    <n v="87"/>
    <x v="39"/>
    <n v="1"/>
    <n v="0"/>
    <x v="1"/>
    <x v="1"/>
    <n v="19"/>
    <n v="1"/>
    <x v="1"/>
    <n v="3"/>
    <x v="1"/>
    <n v="3"/>
    <x v="2"/>
    <n v="0.14000000000000001"/>
    <n v="0.1212"/>
    <n v="0.86"/>
    <n v="0.25369999999999998"/>
    <x v="7"/>
    <n v="87"/>
    <x v="46"/>
  </r>
  <r>
    <n v="88"/>
    <x v="40"/>
    <n v="1"/>
    <n v="0"/>
    <x v="1"/>
    <x v="1"/>
    <n v="0"/>
    <n v="0"/>
    <x v="1"/>
    <n v="4"/>
    <x v="1"/>
    <n v="3"/>
    <x v="2"/>
    <n v="0.14000000000000001"/>
    <n v="0.13639999999999999"/>
    <n v="0.86"/>
    <n v="0.19400000000000001"/>
    <x v="1"/>
    <n v="16"/>
    <x v="0"/>
  </r>
  <r>
    <n v="89"/>
    <x v="40"/>
    <n v="1"/>
    <n v="0"/>
    <x v="1"/>
    <x v="1"/>
    <n v="4"/>
    <n v="0"/>
    <x v="1"/>
    <n v="4"/>
    <x v="1"/>
    <n v="2"/>
    <x v="1"/>
    <n v="0.14000000000000001"/>
    <n v="0.13639999999999999"/>
    <n v="0.59"/>
    <n v="0.22389999999999999"/>
    <x v="1"/>
    <n v="1"/>
    <x v="1"/>
  </r>
  <r>
    <n v="90"/>
    <x v="40"/>
    <n v="1"/>
    <n v="0"/>
    <x v="1"/>
    <x v="1"/>
    <n v="7"/>
    <n v="0"/>
    <x v="1"/>
    <n v="4"/>
    <x v="1"/>
    <n v="1"/>
    <x v="0"/>
    <n v="0.1"/>
    <n v="7.5800000000000006E-2"/>
    <n v="0.5"/>
    <n v="0.41789999999999999"/>
    <x v="1"/>
    <n v="99"/>
    <x v="47"/>
  </r>
  <r>
    <n v="91"/>
    <x v="41"/>
    <n v="1"/>
    <n v="0"/>
    <x v="1"/>
    <x v="1"/>
    <n v="0"/>
    <n v="0"/>
    <x v="0"/>
    <n v="5"/>
    <x v="1"/>
    <n v="1"/>
    <x v="0"/>
    <n v="0.1"/>
    <n v="0.13639999999999999"/>
    <n v="0.49"/>
    <n v="0.1045"/>
    <x v="8"/>
    <n v="12"/>
    <x v="19"/>
  </r>
  <r>
    <n v="92"/>
    <x v="42"/>
    <n v="1"/>
    <n v="0"/>
    <x v="1"/>
    <x v="1"/>
    <n v="0"/>
    <n v="0"/>
    <x v="0"/>
    <n v="6"/>
    <x v="0"/>
    <n v="1"/>
    <x v="0"/>
    <n v="0.16"/>
    <n v="0.19700000000000001"/>
    <n v="0.69"/>
    <n v="8.9599999999999999E-2"/>
    <x v="0"/>
    <n v="27"/>
    <x v="48"/>
  </r>
  <r>
    <n v="93"/>
    <x v="43"/>
    <n v="1"/>
    <n v="0"/>
    <x v="1"/>
    <x v="1"/>
    <n v="0"/>
    <n v="0"/>
    <x v="0"/>
    <n v="0"/>
    <x v="0"/>
    <n v="1"/>
    <x v="0"/>
    <n v="0.2"/>
    <n v="0.2273"/>
    <n v="0.64"/>
    <n v="0.1045"/>
    <x v="5"/>
    <n v="34"/>
    <x v="23"/>
  </r>
  <r>
    <n v="94"/>
    <x v="43"/>
    <n v="1"/>
    <n v="0"/>
    <x v="1"/>
    <x v="1"/>
    <n v="2"/>
    <n v="0"/>
    <x v="0"/>
    <n v="0"/>
    <x v="0"/>
    <n v="2"/>
    <x v="1"/>
    <n v="0.2"/>
    <n v="0.2273"/>
    <n v="0.75"/>
    <n v="8.9599999999999999E-2"/>
    <x v="7"/>
    <n v="19"/>
    <x v="22"/>
  </r>
  <r>
    <n v="95"/>
    <x v="44"/>
    <n v="1"/>
    <n v="0"/>
    <x v="1"/>
    <x v="1"/>
    <n v="0"/>
    <n v="0"/>
    <x v="0"/>
    <n v="1"/>
    <x v="1"/>
    <n v="1"/>
    <x v="0"/>
    <n v="0.38"/>
    <n v="0.39389999999999997"/>
    <n v="0.37"/>
    <n v="0.35820000000000002"/>
    <x v="0"/>
    <n v="8"/>
    <x v="9"/>
  </r>
  <r>
    <n v="96"/>
    <x v="27"/>
    <n v="1"/>
    <n v="0"/>
    <x v="0"/>
    <x v="0"/>
    <n v="16"/>
    <n v="1"/>
    <x v="0"/>
    <n v="5"/>
    <x v="1"/>
    <n v="1"/>
    <x v="0"/>
    <n v="0.22"/>
    <n v="0.2727"/>
    <n v="0.8"/>
    <n v="0"/>
    <x v="11"/>
    <n v="70"/>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891629-5DF8-4177-930C-5801CF09BAD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F2:I5"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5"/>
  </rowFields>
  <rowItems count="3">
    <i>
      <x/>
    </i>
    <i>
      <x v="1"/>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chartFormats count="3">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2C6AD3-F5AB-4EEC-928B-9FDC294F6944}"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C3:AD8"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axis="axisRow" showAll="0">
      <items count="5">
        <item x="1"/>
        <item x="3"/>
        <item x="2"/>
        <item x="0"/>
        <item t="default"/>
      </items>
    </pivotField>
    <pivotField showAll="0"/>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Total" fld="19" baseField="0" baseItem="0"/>
  </dataFields>
  <chartFormats count="5">
    <chartFormat chart="11"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87671A-1440-4532-B8E7-D132F48832A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X3:AA8"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5">
        <item x="1"/>
        <item x="3"/>
        <item x="2"/>
        <item x="0"/>
        <item t="default"/>
      </items>
    </pivotField>
    <pivotField dataField="1" showAll="0"/>
    <pivotField showAll="0"/>
    <pivotField dataField="1" showAll="0"/>
    <pivotField dataField="1" showAll="0"/>
    <pivotField showAll="0"/>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Average of temp" fld="13" subtotal="average" baseField="12" baseItem="0"/>
    <dataField name="Average of windspeed" fld="16" subtotal="average" baseField="12" baseItem="0"/>
    <dataField name="Average of hum" fld="15" subtotal="average" baseField="12" baseItem="0"/>
  </dataFields>
  <chartFormats count="4">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2"/>
          </reference>
        </references>
      </pivotArea>
    </chartFormat>
    <chartFormat chart="47" format="9">
      <pivotArea type="data" outline="0" fieldPosition="0">
        <references count="2">
          <reference field="4294967294"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F6E75-4CCA-422D-9E52-448637D63139}"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P2:Q5"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items count="5">
        <item x="1"/>
        <item x="3"/>
        <item x="2"/>
        <item x="0"/>
        <item t="default"/>
      </items>
    </pivotField>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Sum of Total" fld="19" baseField="0" baseItem="0"/>
  </dataFields>
  <chartFormats count="6">
    <chartFormat chart="11"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610EF0-1047-4D80-9E7E-378077EAFAB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48" firstHeaderRow="0" firstDataRow="1" firstDataCol="1"/>
  <pivotFields count="20">
    <pivotField showAll="0"/>
    <pivotField axis="axisRow"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E79EB-2321-4320-A079-82373C91E72C}"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U3:V6"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axis="axisRow" showAll="0">
      <items count="3">
        <item x="0"/>
        <item x="1"/>
        <item t="default"/>
      </items>
    </pivotField>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showAll="0"/>
    <pivotField showAll="0"/>
    <pivotField dataField="1" showAll="0"/>
  </pivotFields>
  <rowFields count="1">
    <field x="8"/>
  </rowFields>
  <rowItems count="3">
    <i>
      <x/>
    </i>
    <i>
      <x v="1"/>
    </i>
    <i t="grand">
      <x/>
    </i>
  </rowItems>
  <colItems count="1">
    <i/>
  </colItems>
  <dataFields count="1">
    <dataField name="Sum of Total" fld="19" baseField="0" baseItem="0"/>
  </dataFields>
  <chartFormats count="3">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8" count="1" selected="0">
            <x v="0"/>
          </reference>
        </references>
      </pivotArea>
    </chartFormat>
    <chartFormat chart="4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DE643-A617-4C5D-AB04-63738168419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K2:N7"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12"/>
  </rowFields>
  <rowItems count="5">
    <i>
      <x/>
    </i>
    <i>
      <x v="1"/>
    </i>
    <i>
      <x v="2"/>
    </i>
    <i>
      <x v="3"/>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chartFormats count="15">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 xr10:uid="{5E26AA5D-0DFF-4C53-96C2-2FC46F292E43}" sourceName="Daytype">
  <pivotTables>
    <pivotTable tabId="7" name="PivotTable24"/>
  </pivotTables>
  <data>
    <tabular pivotCacheId="1921242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type" xr10:uid="{388B762F-EC41-47E7-B2D8-7C684E4B3E8D}" sourceName="Weektype">
  <pivotTables>
    <pivotTable tabId="7" name="PivotTable24"/>
    <pivotTable tabId="7" name="PivotTable22"/>
    <pivotTable tabId="7" name="PivotTable23"/>
    <pivotTable tabId="7" name="PivotTable25"/>
    <pivotTable tabId="7" name="PivotTable30"/>
    <pivotTable tabId="7" name="PivotTable31"/>
    <pivotTable tabId="7" name="PivotTable33"/>
  </pivotTables>
  <data>
    <tabular pivotCacheId="192124233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1B31FCCF-B772-4AEB-9F27-C5777E5834D8}" sourceName="Weather Type">
  <pivotTables>
    <pivotTable tabId="7" name="PivotTable24"/>
    <pivotTable tabId="7" name="PivotTable22"/>
    <pivotTable tabId="7" name="PivotTable23"/>
    <pivotTable tabId="7" name="PivotTable25"/>
    <pivotTable tabId="7" name="PivotTable30"/>
    <pivotTable tabId="7" name="PivotTable31"/>
    <pivotTable tabId="7" name="PivotTable33"/>
  </pivotTables>
  <data>
    <tabular pivotCacheId="192124233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9EA625-05F6-4820-B6E2-4B66E95A20CC}" sourceName="Month">
  <pivotTables>
    <pivotTable tabId="7" name="PivotTable23"/>
    <pivotTable tabId="7" name="PivotTable22"/>
    <pivotTable tabId="7" name="PivotTable24"/>
    <pivotTable tabId="7" name="PivotTable25"/>
    <pivotTable tabId="7" name="PivotTable30"/>
    <pivotTable tabId="7" name="PivotTable31"/>
    <pivotTable tabId="7" name="PivotTable33"/>
  </pivotTables>
  <data>
    <tabular pivotCacheId="19212423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type" xr10:uid="{2BE2CBC2-FF37-4998-ABDC-22BA263C4246}" cache="Slicer_Daytype" caption="Daytype" style="SlicerStyleDark2" rowHeight="234950"/>
  <slicer name="Weektype" xr10:uid="{2F93ADCE-273F-4D64-A542-E10343703FC9}" cache="Slicer_Weektype" caption="Weektype" style="SlicerStyleDark2" rowHeight="234950"/>
  <slicer name="Weather Type" xr10:uid="{6306505B-27D7-48E0-B1B1-BD55870CD437}" cache="Slicer_Weather_Type" caption="Weather Type" columnCount="2" style="SlicerStyleDark2" rowHeight="234950"/>
  <slicer name="Month" xr10:uid="{C07F6A47-E002-4370-93D1-0790DC061001}" cache="Slicer_Month" caption="Month"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2930A0-F845-4B41-A2C3-B4110E968604}" name="Table8" displayName="Table8" ref="A1:E60" totalsRowShown="0">
  <autoFilter ref="A1:E60" xr:uid="{0B2930A0-F845-4B41-A2C3-B4110E968604}"/>
  <tableColumns count="5">
    <tableColumn id="1" xr3:uid="{2E866379-DC81-4C74-B675-37AFAC61DB5D}" name="Date" dataDxfId="12"/>
    <tableColumn id="2" xr3:uid="{891828CE-640D-4117-893E-3DD75A3615ED}" name="Registered "/>
    <tableColumn id="3" xr3:uid="{A90D0A04-4F54-4775-9070-A1ACAB67D958}" name="Forecast(Registered )">
      <calculatedColumnFormula>_xlfn.FORECAST.ETS(A2,$B$2:$B$46,$A$2:$A$46,1,1)</calculatedColumnFormula>
    </tableColumn>
    <tableColumn id="4" xr3:uid="{5F9F30D8-79D3-4AD4-A0A7-FA579D384B22}" name="Lower Confidence Bound(Registered )" dataDxfId="11">
      <calculatedColumnFormula>C2-_xlfn.FORECAST.ETS.CONFINT(A2,$B$2:$B$46,$A$2:$A$46,0.95,1,1)</calculatedColumnFormula>
    </tableColumn>
    <tableColumn id="5" xr3:uid="{DF10CB35-5969-4CE8-97DA-6759635E144B}" name="Upper Confidence Bound(Registered )" dataDxfId="10">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313221-61C3-4504-8B51-5D9F7D917E22}" name="Table2" displayName="Table2" ref="A1:E75" totalsRowShown="0">
  <autoFilter ref="A1:E75" xr:uid="{B3313221-61C3-4504-8B51-5D9F7D917E22}"/>
  <tableColumns count="5">
    <tableColumn id="1" xr3:uid="{B63DD311-2152-45B1-9E84-9744356F4DF7}" name="Timeline" dataDxfId="9"/>
    <tableColumn id="2" xr3:uid="{A8300732-74BC-4713-864D-FCFF1EBB0605}" name="Values"/>
    <tableColumn id="3" xr3:uid="{A68BC992-5211-4BC4-9394-15F135BB1712}" name="Forecast">
      <calculatedColumnFormula>_xlfn.FORECAST.ETS(A2,$B$2:$B$60,$A$2:$A$60,1,1)</calculatedColumnFormula>
    </tableColumn>
    <tableColumn id="4" xr3:uid="{BB31FC36-AF5D-405A-AF2B-565811365B10}" name="Lower Confidence Bound" dataDxfId="8">
      <calculatedColumnFormula>C2-_xlfn.FORECAST.ETS.CONFINT(A2,$B$2:$B$60,$A$2:$A$60,0.95,1,1)</calculatedColumnFormula>
    </tableColumn>
    <tableColumn id="5" xr3:uid="{4746F5A7-9641-4621-8305-636F44D192AC}" name="Upper Confidence Bound" dataDxfId="7">
      <calculatedColumnFormula>C2+_xlfn.FORECAST.ETS.CONFINT(A2,$B$2:$B$60,$A$2:$A$60,0.95,1,1)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957C30-41D8-486D-A0C1-83E0DAE86B63}">
  <we:reference id="wa200005669" version="3.0.0.0" store="en-US" storeType="OMEX"/>
  <we:alternateReferences>
    <we:reference id="wa200005669" version="3.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1AE1-E5AC-4E2E-9C8A-6024DCFCCD95}">
  <dimension ref="A1"/>
  <sheetViews>
    <sheetView tabSelected="1" workbookViewId="0">
      <selection activeCell="Q5" sqref="Q5"/>
    </sheetView>
  </sheetViews>
  <sheetFormatPr defaultRowHeight="14.4" x14ac:dyDescent="0.3"/>
  <cols>
    <col min="3" max="3" width="9"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05"/>
  <sheetViews>
    <sheetView workbookViewId="0">
      <selection activeCell="M106" sqref="M106"/>
    </sheetView>
  </sheetViews>
  <sheetFormatPr defaultRowHeight="14.4" x14ac:dyDescent="0.3"/>
  <cols>
    <col min="2" max="2" width="11.6640625" style="7" customWidth="1"/>
    <col min="3" max="3" width="7.109375" customWidth="1"/>
    <col min="4" max="4" width="6.109375" customWidth="1"/>
    <col min="5" max="5" width="0" hidden="1" customWidth="1"/>
    <col min="6" max="6" width="5.77734375" customWidth="1"/>
    <col min="7" max="7" width="6.44140625" customWidth="1"/>
    <col min="8" max="8" width="10.6640625" customWidth="1"/>
    <col min="9" max="9" width="9.44140625" customWidth="1"/>
    <col min="10" max="10" width="5.6640625" customWidth="1"/>
    <col min="11" max="11" width="12" customWidth="1"/>
    <col min="12" max="12" width="11.44140625" customWidth="1"/>
    <col min="13" max="13" width="11.88671875" customWidth="1"/>
    <col min="25" max="25" width="10" customWidth="1"/>
  </cols>
  <sheetData>
    <row r="1" spans="1:26" x14ac:dyDescent="0.3">
      <c r="A1" t="s">
        <v>97</v>
      </c>
      <c r="B1" t="s">
        <v>99</v>
      </c>
      <c r="C1" t="s">
        <v>100</v>
      </c>
      <c r="D1" t="s">
        <v>101</v>
      </c>
      <c r="E1" t="s">
        <v>102</v>
      </c>
      <c r="F1" t="s">
        <v>103</v>
      </c>
      <c r="G1" t="s">
        <v>104</v>
      </c>
      <c r="H1" t="s">
        <v>105</v>
      </c>
      <c r="I1" t="s">
        <v>129</v>
      </c>
      <c r="J1" t="s">
        <v>107</v>
      </c>
      <c r="K1" t="s">
        <v>128</v>
      </c>
      <c r="L1" t="s">
        <v>109</v>
      </c>
      <c r="M1" t="s">
        <v>110</v>
      </c>
      <c r="N1" t="s">
        <v>111</v>
      </c>
      <c r="O1" t="s">
        <v>112</v>
      </c>
      <c r="P1" t="s">
        <v>113</v>
      </c>
      <c r="Q1" t="s">
        <v>114</v>
      </c>
      <c r="R1" t="s">
        <v>115</v>
      </c>
      <c r="S1" t="s">
        <v>116</v>
      </c>
      <c r="T1" t="s">
        <v>123</v>
      </c>
      <c r="U1" s="15" t="s">
        <v>141</v>
      </c>
      <c r="V1" t="s">
        <v>142</v>
      </c>
      <c r="W1" t="s">
        <v>147</v>
      </c>
      <c r="X1" t="s">
        <v>144</v>
      </c>
      <c r="Y1" t="s">
        <v>145</v>
      </c>
      <c r="Z1" t="s">
        <v>146</v>
      </c>
    </row>
    <row r="2" spans="1:26" hidden="1" x14ac:dyDescent="0.3">
      <c r="A2">
        <v>1</v>
      </c>
      <c r="B2" t="s">
        <v>1</v>
      </c>
      <c r="C2">
        <v>1</v>
      </c>
      <c r="D2">
        <v>0</v>
      </c>
      <c r="E2">
        <v>1</v>
      </c>
      <c r="F2" t="s">
        <v>2</v>
      </c>
      <c r="G2">
        <v>0</v>
      </c>
      <c r="H2">
        <v>0</v>
      </c>
      <c r="I2" t="s">
        <v>125</v>
      </c>
      <c r="J2">
        <v>6</v>
      </c>
      <c r="K2" t="s">
        <v>108</v>
      </c>
      <c r="L2">
        <v>1</v>
      </c>
      <c r="M2" t="s">
        <v>3</v>
      </c>
      <c r="N2">
        <v>0.24</v>
      </c>
      <c r="O2">
        <v>0.28789999999999999</v>
      </c>
      <c r="P2">
        <v>0.81</v>
      </c>
      <c r="Q2" s="14">
        <v>0</v>
      </c>
      <c r="R2">
        <v>3</v>
      </c>
      <c r="S2">
        <v>13</v>
      </c>
      <c r="T2">
        <v>16</v>
      </c>
      <c r="U2" t="b">
        <f>OR(T2&gt;$Y$2,T2&lt;$Z$2)</f>
        <v>0</v>
      </c>
      <c r="V2">
        <f>QUARTILE(T2:T97,1)</f>
        <v>7</v>
      </c>
      <c r="W2">
        <f>QUARTILE(T2:T97,3)</f>
        <v>39</v>
      </c>
      <c r="X2">
        <f>W2-V2</f>
        <v>32</v>
      </c>
      <c r="Y2">
        <f>W2+(1.5*X2)</f>
        <v>87</v>
      </c>
      <c r="Z2">
        <f>V2-(1.5*X2)</f>
        <v>-41</v>
      </c>
    </row>
    <row r="3" spans="1:26" hidden="1" x14ac:dyDescent="0.3">
      <c r="A3">
        <v>2</v>
      </c>
      <c r="B3" t="s">
        <v>1</v>
      </c>
      <c r="C3">
        <v>1</v>
      </c>
      <c r="D3">
        <v>0</v>
      </c>
      <c r="E3">
        <v>1</v>
      </c>
      <c r="F3" t="s">
        <v>2</v>
      </c>
      <c r="G3">
        <v>5</v>
      </c>
      <c r="H3">
        <v>0</v>
      </c>
      <c r="I3" t="s">
        <v>125</v>
      </c>
      <c r="J3">
        <v>6</v>
      </c>
      <c r="K3" t="s">
        <v>108</v>
      </c>
      <c r="L3">
        <v>2</v>
      </c>
      <c r="M3" t="s">
        <v>4</v>
      </c>
      <c r="N3">
        <v>0.24</v>
      </c>
      <c r="O3">
        <v>0.2576</v>
      </c>
      <c r="P3">
        <v>0.75</v>
      </c>
      <c r="Q3" s="14">
        <v>8.9599999999999999E-2</v>
      </c>
      <c r="R3">
        <v>0</v>
      </c>
      <c r="S3">
        <v>1</v>
      </c>
      <c r="T3">
        <v>1</v>
      </c>
      <c r="U3" t="b">
        <f t="shared" ref="U3:U66" si="0">OR(T3&gt;$Y$2,T3&lt;$Z$2)</f>
        <v>0</v>
      </c>
    </row>
    <row r="4" spans="1:26" hidden="1" x14ac:dyDescent="0.3">
      <c r="A4">
        <v>3</v>
      </c>
      <c r="B4" t="s">
        <v>1</v>
      </c>
      <c r="C4">
        <v>1</v>
      </c>
      <c r="D4">
        <v>0</v>
      </c>
      <c r="E4">
        <v>1</v>
      </c>
      <c r="F4" t="s">
        <v>2</v>
      </c>
      <c r="G4">
        <v>18</v>
      </c>
      <c r="H4">
        <v>1</v>
      </c>
      <c r="I4" t="s">
        <v>125</v>
      </c>
      <c r="J4">
        <v>6</v>
      </c>
      <c r="K4" t="s">
        <v>108</v>
      </c>
      <c r="L4">
        <v>3</v>
      </c>
      <c r="M4" t="s">
        <v>6</v>
      </c>
      <c r="N4">
        <v>0.42</v>
      </c>
      <c r="O4">
        <v>0.42420000000000002</v>
      </c>
      <c r="P4">
        <v>0.88</v>
      </c>
      <c r="Q4" s="14">
        <v>0.25369999999999998</v>
      </c>
      <c r="R4">
        <v>9</v>
      </c>
      <c r="S4">
        <v>26</v>
      </c>
      <c r="T4">
        <v>35</v>
      </c>
      <c r="U4" t="b">
        <f t="shared" si="0"/>
        <v>0</v>
      </c>
    </row>
    <row r="5" spans="1:26" hidden="1" x14ac:dyDescent="0.3">
      <c r="A5">
        <v>4</v>
      </c>
      <c r="B5" t="s">
        <v>8</v>
      </c>
      <c r="C5">
        <v>1</v>
      </c>
      <c r="D5">
        <v>0</v>
      </c>
      <c r="E5">
        <v>1</v>
      </c>
      <c r="F5" t="s">
        <v>2</v>
      </c>
      <c r="G5">
        <v>0</v>
      </c>
      <c r="H5">
        <v>0</v>
      </c>
      <c r="I5" t="s">
        <v>125</v>
      </c>
      <c r="J5">
        <v>0</v>
      </c>
      <c r="K5" t="s">
        <v>108</v>
      </c>
      <c r="L5">
        <v>2</v>
      </c>
      <c r="M5" t="s">
        <v>4</v>
      </c>
      <c r="N5">
        <v>0.46</v>
      </c>
      <c r="O5">
        <v>0.45450000000000002</v>
      </c>
      <c r="P5">
        <v>0.88</v>
      </c>
      <c r="Q5" s="14">
        <v>0.29849999999999999</v>
      </c>
      <c r="R5">
        <v>4</v>
      </c>
      <c r="S5">
        <v>13</v>
      </c>
      <c r="T5">
        <v>17</v>
      </c>
      <c r="U5" t="b">
        <f t="shared" si="0"/>
        <v>0</v>
      </c>
    </row>
    <row r="6" spans="1:26" hidden="1" x14ac:dyDescent="0.3">
      <c r="A6">
        <v>5</v>
      </c>
      <c r="B6" t="s">
        <v>8</v>
      </c>
      <c r="C6">
        <v>1</v>
      </c>
      <c r="D6">
        <v>0</v>
      </c>
      <c r="E6">
        <v>1</v>
      </c>
      <c r="F6" t="s">
        <v>2</v>
      </c>
      <c r="G6">
        <v>6</v>
      </c>
      <c r="H6">
        <v>0</v>
      </c>
      <c r="I6" t="s">
        <v>125</v>
      </c>
      <c r="J6">
        <v>0</v>
      </c>
      <c r="K6" t="s">
        <v>108</v>
      </c>
      <c r="L6">
        <v>3</v>
      </c>
      <c r="M6" t="s">
        <v>6</v>
      </c>
      <c r="N6">
        <v>0.42</v>
      </c>
      <c r="O6">
        <v>0.42420000000000002</v>
      </c>
      <c r="P6">
        <v>0.77</v>
      </c>
      <c r="Q6" s="14">
        <v>0.29849999999999999</v>
      </c>
      <c r="R6">
        <v>0</v>
      </c>
      <c r="S6">
        <v>2</v>
      </c>
      <c r="T6">
        <v>2</v>
      </c>
      <c r="U6" t="b">
        <f t="shared" si="0"/>
        <v>0</v>
      </c>
    </row>
    <row r="7" spans="1:26" hidden="1" x14ac:dyDescent="0.3">
      <c r="A7">
        <v>6</v>
      </c>
      <c r="B7" t="s">
        <v>8</v>
      </c>
      <c r="C7">
        <v>1</v>
      </c>
      <c r="D7">
        <v>0</v>
      </c>
      <c r="E7">
        <v>1</v>
      </c>
      <c r="F7" t="s">
        <v>2</v>
      </c>
      <c r="G7">
        <v>17</v>
      </c>
      <c r="H7">
        <v>1</v>
      </c>
      <c r="I7" t="s">
        <v>125</v>
      </c>
      <c r="J7">
        <v>0</v>
      </c>
      <c r="K7" t="s">
        <v>108</v>
      </c>
      <c r="L7">
        <v>1</v>
      </c>
      <c r="M7" t="s">
        <v>3</v>
      </c>
      <c r="N7">
        <v>0.34</v>
      </c>
      <c r="O7">
        <v>0.33329999999999999</v>
      </c>
      <c r="P7">
        <v>0.56999999999999995</v>
      </c>
      <c r="Q7" s="14">
        <v>0.19400000000000001</v>
      </c>
      <c r="R7">
        <v>7</v>
      </c>
      <c r="S7">
        <v>58</v>
      </c>
      <c r="T7">
        <v>65</v>
      </c>
      <c r="U7" t="b">
        <f t="shared" si="0"/>
        <v>0</v>
      </c>
    </row>
    <row r="8" spans="1:26" hidden="1" x14ac:dyDescent="0.3">
      <c r="A8">
        <v>7</v>
      </c>
      <c r="B8" t="s">
        <v>10</v>
      </c>
      <c r="C8">
        <v>1</v>
      </c>
      <c r="D8">
        <v>0</v>
      </c>
      <c r="E8">
        <v>1</v>
      </c>
      <c r="F8" t="s">
        <v>2</v>
      </c>
      <c r="G8">
        <v>0</v>
      </c>
      <c r="H8">
        <v>0</v>
      </c>
      <c r="I8" t="s">
        <v>126</v>
      </c>
      <c r="J8">
        <v>1</v>
      </c>
      <c r="K8" t="s">
        <v>124</v>
      </c>
      <c r="L8">
        <v>1</v>
      </c>
      <c r="M8" t="s">
        <v>3</v>
      </c>
      <c r="N8">
        <v>0.22</v>
      </c>
      <c r="O8">
        <v>0.19700000000000001</v>
      </c>
      <c r="P8">
        <v>0.44</v>
      </c>
      <c r="Q8" s="14">
        <v>0.35820000000000002</v>
      </c>
      <c r="R8">
        <v>0</v>
      </c>
      <c r="S8">
        <v>5</v>
      </c>
      <c r="T8">
        <v>5</v>
      </c>
      <c r="U8" t="b">
        <f t="shared" si="0"/>
        <v>0</v>
      </c>
    </row>
    <row r="9" spans="1:26" hidden="1" x14ac:dyDescent="0.3">
      <c r="A9">
        <v>8</v>
      </c>
      <c r="B9" t="s">
        <v>12</v>
      </c>
      <c r="C9">
        <v>1</v>
      </c>
      <c r="D9">
        <v>0</v>
      </c>
      <c r="E9">
        <v>1</v>
      </c>
      <c r="F9" t="s">
        <v>2</v>
      </c>
      <c r="G9">
        <v>0</v>
      </c>
      <c r="H9">
        <v>0</v>
      </c>
      <c r="I9" t="s">
        <v>125</v>
      </c>
      <c r="J9">
        <v>2</v>
      </c>
      <c r="K9" t="s">
        <v>124</v>
      </c>
      <c r="L9">
        <v>1</v>
      </c>
      <c r="M9" t="s">
        <v>3</v>
      </c>
      <c r="N9">
        <v>0.16</v>
      </c>
      <c r="O9" t="s">
        <v>5</v>
      </c>
      <c r="P9">
        <v>0.55000000000000004</v>
      </c>
      <c r="Q9" s="14">
        <v>0.1045</v>
      </c>
      <c r="R9">
        <v>0</v>
      </c>
      <c r="S9">
        <v>5</v>
      </c>
      <c r="T9">
        <v>5</v>
      </c>
      <c r="U9" t="b">
        <f t="shared" si="0"/>
        <v>0</v>
      </c>
    </row>
    <row r="10" spans="1:26" hidden="1" x14ac:dyDescent="0.3">
      <c r="A10">
        <v>9</v>
      </c>
      <c r="B10" t="s">
        <v>12</v>
      </c>
      <c r="C10">
        <v>1</v>
      </c>
      <c r="D10">
        <v>0</v>
      </c>
      <c r="E10">
        <v>1</v>
      </c>
      <c r="F10" t="s">
        <v>2</v>
      </c>
      <c r="G10">
        <v>10</v>
      </c>
      <c r="H10">
        <v>0</v>
      </c>
      <c r="I10" t="s">
        <v>126</v>
      </c>
      <c r="J10">
        <v>2</v>
      </c>
      <c r="K10" t="s">
        <v>124</v>
      </c>
      <c r="L10">
        <v>2</v>
      </c>
      <c r="M10" t="s">
        <v>4</v>
      </c>
      <c r="N10">
        <v>0.16</v>
      </c>
      <c r="O10">
        <v>0.13639999999999999</v>
      </c>
      <c r="P10">
        <v>0.69</v>
      </c>
      <c r="Q10" s="14">
        <v>0.32840000000000003</v>
      </c>
      <c r="R10">
        <v>5</v>
      </c>
      <c r="S10">
        <v>37</v>
      </c>
      <c r="T10">
        <v>42</v>
      </c>
      <c r="U10" t="b">
        <f t="shared" si="0"/>
        <v>0</v>
      </c>
    </row>
    <row r="11" spans="1:26" hidden="1" x14ac:dyDescent="0.3">
      <c r="A11">
        <v>10</v>
      </c>
      <c r="B11" t="s">
        <v>14</v>
      </c>
      <c r="C11">
        <v>1</v>
      </c>
      <c r="D11">
        <v>0</v>
      </c>
      <c r="E11">
        <v>1</v>
      </c>
      <c r="F11" t="s">
        <v>2</v>
      </c>
      <c r="G11">
        <v>0</v>
      </c>
      <c r="H11">
        <v>0</v>
      </c>
      <c r="I11" t="s">
        <v>126</v>
      </c>
      <c r="J11">
        <v>3</v>
      </c>
      <c r="K11" t="s">
        <v>124</v>
      </c>
      <c r="L11">
        <v>1</v>
      </c>
      <c r="M11" t="s">
        <v>3</v>
      </c>
      <c r="N11">
        <v>0.2</v>
      </c>
      <c r="O11">
        <v>0.2576</v>
      </c>
      <c r="P11">
        <v>0.64</v>
      </c>
      <c r="Q11" s="14">
        <v>0</v>
      </c>
      <c r="R11">
        <v>0</v>
      </c>
      <c r="S11">
        <v>6</v>
      </c>
      <c r="T11">
        <v>6</v>
      </c>
      <c r="U11" t="b">
        <f t="shared" si="0"/>
        <v>0</v>
      </c>
    </row>
    <row r="12" spans="1:26" hidden="1" x14ac:dyDescent="0.3">
      <c r="A12">
        <v>11</v>
      </c>
      <c r="B12" t="s">
        <v>16</v>
      </c>
      <c r="C12">
        <v>1</v>
      </c>
      <c r="D12">
        <v>0</v>
      </c>
      <c r="E12">
        <v>1</v>
      </c>
      <c r="F12" t="s">
        <v>2</v>
      </c>
      <c r="G12">
        <v>0</v>
      </c>
      <c r="H12">
        <v>0</v>
      </c>
      <c r="I12" t="s">
        <v>126</v>
      </c>
      <c r="J12">
        <v>4</v>
      </c>
      <c r="K12" t="s">
        <v>124</v>
      </c>
      <c r="L12">
        <v>1</v>
      </c>
      <c r="M12" t="s">
        <v>3</v>
      </c>
      <c r="N12">
        <v>0.18</v>
      </c>
      <c r="O12">
        <v>0.2424</v>
      </c>
      <c r="P12">
        <v>0.55000000000000004</v>
      </c>
      <c r="Q12" s="14">
        <v>0</v>
      </c>
      <c r="R12">
        <v>0</v>
      </c>
      <c r="S12">
        <v>11</v>
      </c>
      <c r="T12">
        <v>11</v>
      </c>
      <c r="U12" t="b">
        <f t="shared" si="0"/>
        <v>0</v>
      </c>
    </row>
    <row r="13" spans="1:26" hidden="1" x14ac:dyDescent="0.3">
      <c r="A13">
        <v>12</v>
      </c>
      <c r="B13" t="s">
        <v>16</v>
      </c>
      <c r="C13">
        <v>1</v>
      </c>
      <c r="D13">
        <v>0</v>
      </c>
      <c r="E13">
        <v>1</v>
      </c>
      <c r="F13" t="s">
        <v>2</v>
      </c>
      <c r="G13">
        <v>4</v>
      </c>
      <c r="H13">
        <v>0</v>
      </c>
      <c r="I13" t="s">
        <v>126</v>
      </c>
      <c r="J13">
        <v>4</v>
      </c>
      <c r="K13" t="s">
        <v>124</v>
      </c>
      <c r="L13">
        <v>2</v>
      </c>
      <c r="M13" t="s">
        <v>4</v>
      </c>
      <c r="N13">
        <v>0.16</v>
      </c>
      <c r="O13">
        <v>0.19700000000000001</v>
      </c>
      <c r="P13">
        <v>0.64</v>
      </c>
      <c r="Q13" s="14">
        <v>8.9599999999999999E-2</v>
      </c>
      <c r="R13">
        <v>0</v>
      </c>
      <c r="S13">
        <v>1</v>
      </c>
      <c r="T13">
        <v>1</v>
      </c>
      <c r="U13" t="b">
        <f t="shared" si="0"/>
        <v>0</v>
      </c>
    </row>
    <row r="14" spans="1:26" hidden="1" x14ac:dyDescent="0.3">
      <c r="A14">
        <v>13</v>
      </c>
      <c r="B14" t="s">
        <v>18</v>
      </c>
      <c r="C14">
        <v>1</v>
      </c>
      <c r="D14">
        <v>0</v>
      </c>
      <c r="E14">
        <v>1</v>
      </c>
      <c r="F14" t="s">
        <v>2</v>
      </c>
      <c r="G14">
        <v>0</v>
      </c>
      <c r="H14">
        <v>0</v>
      </c>
      <c r="I14" t="s">
        <v>125</v>
      </c>
      <c r="J14">
        <v>5</v>
      </c>
      <c r="K14" t="s">
        <v>124</v>
      </c>
      <c r="L14">
        <v>2</v>
      </c>
      <c r="M14" t="s">
        <v>4</v>
      </c>
      <c r="N14">
        <v>0.2</v>
      </c>
      <c r="O14">
        <v>0.19700000000000001</v>
      </c>
      <c r="P14">
        <v>0.64</v>
      </c>
      <c r="Q14" s="14">
        <v>0.19400000000000001</v>
      </c>
      <c r="R14">
        <v>4</v>
      </c>
      <c r="S14">
        <v>13</v>
      </c>
      <c r="T14">
        <v>17</v>
      </c>
      <c r="U14" t="b">
        <f t="shared" si="0"/>
        <v>0</v>
      </c>
    </row>
    <row r="15" spans="1:26" hidden="1" x14ac:dyDescent="0.3">
      <c r="A15">
        <v>14</v>
      </c>
      <c r="B15" t="s">
        <v>18</v>
      </c>
      <c r="C15">
        <v>1</v>
      </c>
      <c r="D15">
        <v>0</v>
      </c>
      <c r="E15">
        <v>1</v>
      </c>
      <c r="F15" t="s">
        <v>2</v>
      </c>
      <c r="G15">
        <v>5</v>
      </c>
      <c r="H15">
        <v>0</v>
      </c>
      <c r="I15" t="s">
        <v>125</v>
      </c>
      <c r="J15">
        <v>5</v>
      </c>
      <c r="K15" t="s">
        <v>124</v>
      </c>
      <c r="L15">
        <v>3</v>
      </c>
      <c r="M15" t="s">
        <v>6</v>
      </c>
      <c r="N15">
        <v>0.22</v>
      </c>
      <c r="O15">
        <v>0.2727</v>
      </c>
      <c r="P15">
        <v>0.55000000000000004</v>
      </c>
      <c r="Q15" s="14">
        <v>0</v>
      </c>
      <c r="R15">
        <v>0</v>
      </c>
      <c r="S15">
        <v>5</v>
      </c>
      <c r="T15">
        <v>5</v>
      </c>
      <c r="U15" t="b">
        <f t="shared" si="0"/>
        <v>0</v>
      </c>
    </row>
    <row r="16" spans="1:26" hidden="1" x14ac:dyDescent="0.3">
      <c r="A16">
        <v>15</v>
      </c>
      <c r="B16" t="s">
        <v>18</v>
      </c>
      <c r="C16">
        <v>1</v>
      </c>
      <c r="D16">
        <v>0</v>
      </c>
      <c r="E16">
        <v>1</v>
      </c>
      <c r="F16" t="s">
        <v>2</v>
      </c>
      <c r="G16">
        <v>7</v>
      </c>
      <c r="H16">
        <v>0</v>
      </c>
      <c r="I16" t="s">
        <v>125</v>
      </c>
      <c r="J16">
        <v>5</v>
      </c>
      <c r="K16" t="s">
        <v>124</v>
      </c>
      <c r="L16">
        <v>1</v>
      </c>
      <c r="M16" t="s">
        <v>3</v>
      </c>
      <c r="N16">
        <v>0.2</v>
      </c>
      <c r="O16">
        <v>0.21210000000000001</v>
      </c>
      <c r="P16">
        <v>0.69</v>
      </c>
      <c r="Q16" s="14">
        <v>0.1343</v>
      </c>
      <c r="R16">
        <v>8</v>
      </c>
      <c r="S16">
        <v>76</v>
      </c>
      <c r="T16">
        <v>84</v>
      </c>
      <c r="U16" t="b">
        <f t="shared" si="0"/>
        <v>0</v>
      </c>
    </row>
    <row r="17" spans="1:21" hidden="1" x14ac:dyDescent="0.3">
      <c r="A17">
        <v>16</v>
      </c>
      <c r="B17" t="s">
        <v>20</v>
      </c>
      <c r="C17">
        <v>1</v>
      </c>
      <c r="D17">
        <v>0</v>
      </c>
      <c r="E17">
        <v>1</v>
      </c>
      <c r="F17" t="s">
        <v>2</v>
      </c>
      <c r="G17">
        <v>0</v>
      </c>
      <c r="H17">
        <v>0</v>
      </c>
      <c r="I17" t="s">
        <v>125</v>
      </c>
      <c r="J17">
        <v>6</v>
      </c>
      <c r="K17" t="s">
        <v>108</v>
      </c>
      <c r="L17">
        <v>2</v>
      </c>
      <c r="M17" t="s">
        <v>4</v>
      </c>
      <c r="N17">
        <v>0.18</v>
      </c>
      <c r="O17">
        <v>0.19700000000000001</v>
      </c>
      <c r="P17">
        <v>0.51</v>
      </c>
      <c r="Q17" s="14">
        <v>0.16420000000000001</v>
      </c>
      <c r="R17">
        <v>1</v>
      </c>
      <c r="S17">
        <v>24</v>
      </c>
      <c r="T17">
        <v>25</v>
      </c>
      <c r="U17" t="b">
        <f t="shared" si="0"/>
        <v>0</v>
      </c>
    </row>
    <row r="18" spans="1:21" hidden="1" x14ac:dyDescent="0.3">
      <c r="A18">
        <v>17</v>
      </c>
      <c r="B18" t="s">
        <v>20</v>
      </c>
      <c r="C18">
        <v>1</v>
      </c>
      <c r="D18">
        <v>0</v>
      </c>
      <c r="E18">
        <v>1</v>
      </c>
      <c r="F18" t="s">
        <v>2</v>
      </c>
      <c r="G18">
        <v>3</v>
      </c>
      <c r="H18">
        <v>0</v>
      </c>
      <c r="I18" t="s">
        <v>125</v>
      </c>
      <c r="J18">
        <v>6</v>
      </c>
      <c r="K18" t="s">
        <v>108</v>
      </c>
      <c r="L18">
        <v>3</v>
      </c>
      <c r="M18" t="s">
        <v>6</v>
      </c>
      <c r="N18">
        <v>0.18</v>
      </c>
      <c r="O18">
        <v>0.19700000000000001</v>
      </c>
      <c r="P18">
        <v>0.55000000000000004</v>
      </c>
      <c r="Q18" s="14">
        <v>0.16420000000000001</v>
      </c>
      <c r="R18">
        <v>0</v>
      </c>
      <c r="S18">
        <v>7</v>
      </c>
      <c r="T18">
        <v>7</v>
      </c>
      <c r="U18" t="b">
        <f t="shared" si="0"/>
        <v>0</v>
      </c>
    </row>
    <row r="19" spans="1:21" x14ac:dyDescent="0.3">
      <c r="A19">
        <v>18</v>
      </c>
      <c r="B19" t="s">
        <v>20</v>
      </c>
      <c r="C19">
        <v>1</v>
      </c>
      <c r="D19">
        <v>0</v>
      </c>
      <c r="E19">
        <v>1</v>
      </c>
      <c r="F19" t="s">
        <v>2</v>
      </c>
      <c r="G19">
        <v>13</v>
      </c>
      <c r="H19">
        <v>1</v>
      </c>
      <c r="I19" t="s">
        <v>125</v>
      </c>
      <c r="J19">
        <v>6</v>
      </c>
      <c r="K19" t="s">
        <v>108</v>
      </c>
      <c r="L19">
        <v>1</v>
      </c>
      <c r="M19" t="s">
        <v>3</v>
      </c>
      <c r="N19">
        <v>0.2</v>
      </c>
      <c r="O19">
        <v>0.18179999999999999</v>
      </c>
      <c r="P19">
        <v>0.44</v>
      </c>
      <c r="Q19" s="14">
        <v>0.32840000000000003</v>
      </c>
      <c r="R19">
        <v>7</v>
      </c>
      <c r="S19">
        <v>95</v>
      </c>
      <c r="T19">
        <v>102</v>
      </c>
      <c r="U19" s="17" t="b">
        <f t="shared" si="0"/>
        <v>1</v>
      </c>
    </row>
    <row r="20" spans="1:21" hidden="1" x14ac:dyDescent="0.3">
      <c r="A20">
        <v>19</v>
      </c>
      <c r="B20" t="s">
        <v>22</v>
      </c>
      <c r="C20">
        <v>1</v>
      </c>
      <c r="D20">
        <v>0</v>
      </c>
      <c r="E20">
        <v>1</v>
      </c>
      <c r="F20" t="s">
        <v>2</v>
      </c>
      <c r="G20">
        <v>0</v>
      </c>
      <c r="H20">
        <v>0</v>
      </c>
      <c r="I20" t="s">
        <v>125</v>
      </c>
      <c r="J20">
        <v>0</v>
      </c>
      <c r="K20" t="s">
        <v>108</v>
      </c>
      <c r="L20">
        <v>1</v>
      </c>
      <c r="M20" t="s">
        <v>3</v>
      </c>
      <c r="N20">
        <v>0.1</v>
      </c>
      <c r="O20">
        <v>7.5800000000000006E-2</v>
      </c>
      <c r="P20">
        <v>0.42</v>
      </c>
      <c r="Q20" s="14">
        <v>0.3881</v>
      </c>
      <c r="R20">
        <v>1</v>
      </c>
      <c r="S20">
        <v>24</v>
      </c>
      <c r="T20">
        <v>25</v>
      </c>
      <c r="U20" t="b">
        <f t="shared" si="0"/>
        <v>0</v>
      </c>
    </row>
    <row r="21" spans="1:21" hidden="1" x14ac:dyDescent="0.3">
      <c r="A21">
        <v>20</v>
      </c>
      <c r="B21" t="s">
        <v>24</v>
      </c>
      <c r="C21">
        <v>1</v>
      </c>
      <c r="D21">
        <v>0</v>
      </c>
      <c r="E21">
        <v>1</v>
      </c>
      <c r="F21" t="s">
        <v>2</v>
      </c>
      <c r="G21">
        <v>0</v>
      </c>
      <c r="H21">
        <v>0</v>
      </c>
      <c r="I21" t="s">
        <v>126</v>
      </c>
      <c r="J21">
        <v>1</v>
      </c>
      <c r="K21" t="s">
        <v>124</v>
      </c>
      <c r="L21">
        <v>1</v>
      </c>
      <c r="M21" t="s">
        <v>3</v>
      </c>
      <c r="N21">
        <v>0.12</v>
      </c>
      <c r="O21">
        <v>0.1212</v>
      </c>
      <c r="P21">
        <v>0.5</v>
      </c>
      <c r="Q21" s="14">
        <v>0.28360000000000002</v>
      </c>
      <c r="R21">
        <v>2</v>
      </c>
      <c r="S21">
        <v>3</v>
      </c>
      <c r="T21">
        <v>5</v>
      </c>
      <c r="U21" t="b">
        <f t="shared" si="0"/>
        <v>0</v>
      </c>
    </row>
    <row r="22" spans="1:21" x14ac:dyDescent="0.3">
      <c r="A22">
        <v>21</v>
      </c>
      <c r="B22" t="s">
        <v>24</v>
      </c>
      <c r="C22">
        <v>1</v>
      </c>
      <c r="D22">
        <v>0</v>
      </c>
      <c r="E22">
        <v>1</v>
      </c>
      <c r="F22" t="s">
        <v>2</v>
      </c>
      <c r="G22">
        <v>8</v>
      </c>
      <c r="H22">
        <v>0</v>
      </c>
      <c r="I22" t="s">
        <v>126</v>
      </c>
      <c r="J22">
        <v>1</v>
      </c>
      <c r="K22" t="s">
        <v>124</v>
      </c>
      <c r="L22">
        <v>2</v>
      </c>
      <c r="M22" t="s">
        <v>4</v>
      </c>
      <c r="N22">
        <v>0.12</v>
      </c>
      <c r="O22">
        <v>0.1212</v>
      </c>
      <c r="P22">
        <v>0.5</v>
      </c>
      <c r="Q22" s="14">
        <v>0.28360000000000002</v>
      </c>
      <c r="R22">
        <v>4</v>
      </c>
      <c r="S22">
        <v>184</v>
      </c>
      <c r="T22">
        <v>188</v>
      </c>
      <c r="U22" s="17" t="b">
        <f t="shared" si="0"/>
        <v>1</v>
      </c>
    </row>
    <row r="23" spans="1:21" hidden="1" x14ac:dyDescent="0.3">
      <c r="A23">
        <v>22</v>
      </c>
      <c r="B23" t="s">
        <v>26</v>
      </c>
      <c r="C23">
        <v>1</v>
      </c>
      <c r="D23">
        <v>0</v>
      </c>
      <c r="E23">
        <v>1</v>
      </c>
      <c r="F23" t="s">
        <v>2</v>
      </c>
      <c r="G23">
        <v>0</v>
      </c>
      <c r="H23">
        <v>0</v>
      </c>
      <c r="I23" t="s">
        <v>126</v>
      </c>
      <c r="J23">
        <v>2</v>
      </c>
      <c r="K23" t="s">
        <v>124</v>
      </c>
      <c r="L23">
        <v>1</v>
      </c>
      <c r="M23" t="s">
        <v>3</v>
      </c>
      <c r="N23">
        <v>0.14000000000000001</v>
      </c>
      <c r="O23">
        <v>0.16669999999999999</v>
      </c>
      <c r="P23">
        <v>0.59</v>
      </c>
      <c r="Q23" s="14">
        <v>0.1045</v>
      </c>
      <c r="R23">
        <v>2</v>
      </c>
      <c r="S23">
        <v>10</v>
      </c>
      <c r="T23">
        <v>12</v>
      </c>
      <c r="U23" t="b">
        <f t="shared" si="0"/>
        <v>0</v>
      </c>
    </row>
    <row r="24" spans="1:21" hidden="1" x14ac:dyDescent="0.3">
      <c r="A24">
        <v>23</v>
      </c>
      <c r="B24" t="s">
        <v>26</v>
      </c>
      <c r="C24">
        <v>1</v>
      </c>
      <c r="D24">
        <v>0</v>
      </c>
      <c r="E24">
        <v>1</v>
      </c>
      <c r="F24" t="s">
        <v>2</v>
      </c>
      <c r="G24">
        <v>2</v>
      </c>
      <c r="H24">
        <v>0</v>
      </c>
      <c r="I24" t="s">
        <v>126</v>
      </c>
      <c r="J24">
        <v>2</v>
      </c>
      <c r="K24" t="s">
        <v>124</v>
      </c>
      <c r="L24">
        <v>2</v>
      </c>
      <c r="M24" t="s">
        <v>4</v>
      </c>
      <c r="N24">
        <v>0.16</v>
      </c>
      <c r="O24">
        <v>0.1515</v>
      </c>
      <c r="P24">
        <v>0.55000000000000004</v>
      </c>
      <c r="Q24" s="14">
        <v>0.19400000000000001</v>
      </c>
      <c r="R24">
        <v>0</v>
      </c>
      <c r="S24">
        <v>3</v>
      </c>
      <c r="T24">
        <v>3</v>
      </c>
      <c r="U24" t="b">
        <f t="shared" si="0"/>
        <v>0</v>
      </c>
    </row>
    <row r="25" spans="1:21" hidden="1" x14ac:dyDescent="0.3">
      <c r="A25">
        <v>24</v>
      </c>
      <c r="B25" t="s">
        <v>26</v>
      </c>
      <c r="C25">
        <v>1</v>
      </c>
      <c r="D25">
        <v>0</v>
      </c>
      <c r="E25">
        <v>1</v>
      </c>
      <c r="F25" t="s">
        <v>2</v>
      </c>
      <c r="G25">
        <v>18</v>
      </c>
      <c r="H25">
        <v>1</v>
      </c>
      <c r="I25" t="s">
        <v>126</v>
      </c>
      <c r="J25">
        <v>2</v>
      </c>
      <c r="K25" t="s">
        <v>124</v>
      </c>
      <c r="L25">
        <v>3</v>
      </c>
      <c r="M25" t="s">
        <v>6</v>
      </c>
      <c r="N25">
        <v>0.16</v>
      </c>
      <c r="O25">
        <v>0.18179999999999999</v>
      </c>
      <c r="P25">
        <v>0.93</v>
      </c>
      <c r="Q25" s="14">
        <v>0.1045</v>
      </c>
      <c r="R25">
        <v>1</v>
      </c>
      <c r="S25">
        <v>94</v>
      </c>
      <c r="T25">
        <v>95</v>
      </c>
      <c r="U25" s="17" t="b">
        <f t="shared" si="0"/>
        <v>1</v>
      </c>
    </row>
    <row r="26" spans="1:21" hidden="1" x14ac:dyDescent="0.3">
      <c r="A26">
        <v>25</v>
      </c>
      <c r="B26" t="s">
        <v>28</v>
      </c>
      <c r="C26">
        <v>1</v>
      </c>
      <c r="D26">
        <v>0</v>
      </c>
      <c r="E26">
        <v>1</v>
      </c>
      <c r="F26" t="s">
        <v>2</v>
      </c>
      <c r="G26">
        <v>0</v>
      </c>
      <c r="H26">
        <v>0</v>
      </c>
      <c r="I26" t="s">
        <v>126</v>
      </c>
      <c r="J26">
        <v>3</v>
      </c>
      <c r="K26" t="s">
        <v>124</v>
      </c>
      <c r="L26">
        <v>2</v>
      </c>
      <c r="M26" t="s">
        <v>4</v>
      </c>
      <c r="N26">
        <v>0.16</v>
      </c>
      <c r="O26">
        <v>0.19700000000000001</v>
      </c>
      <c r="P26">
        <v>0.86</v>
      </c>
      <c r="Q26" s="14">
        <v>8.9599999999999999E-2</v>
      </c>
      <c r="R26">
        <v>0</v>
      </c>
      <c r="S26">
        <v>7</v>
      </c>
      <c r="T26">
        <v>7</v>
      </c>
      <c r="U26" t="b">
        <f t="shared" si="0"/>
        <v>0</v>
      </c>
    </row>
    <row r="27" spans="1:21" hidden="1" x14ac:dyDescent="0.3">
      <c r="A27">
        <v>26</v>
      </c>
      <c r="B27" t="s">
        <v>28</v>
      </c>
      <c r="C27">
        <v>1</v>
      </c>
      <c r="D27">
        <v>0</v>
      </c>
      <c r="E27">
        <v>1</v>
      </c>
      <c r="F27" t="s">
        <v>2</v>
      </c>
      <c r="G27">
        <v>2</v>
      </c>
      <c r="H27">
        <v>0</v>
      </c>
      <c r="I27" t="s">
        <v>125</v>
      </c>
      <c r="J27">
        <v>3</v>
      </c>
      <c r="K27" t="s">
        <v>124</v>
      </c>
      <c r="L27">
        <v>1</v>
      </c>
      <c r="M27" t="s">
        <v>3</v>
      </c>
      <c r="N27">
        <v>0.14000000000000001</v>
      </c>
      <c r="O27">
        <v>0.1515</v>
      </c>
      <c r="P27">
        <v>0.86</v>
      </c>
      <c r="Q27" s="14">
        <v>0.1343</v>
      </c>
      <c r="R27">
        <v>0</v>
      </c>
      <c r="S27">
        <v>1</v>
      </c>
      <c r="T27">
        <v>1</v>
      </c>
      <c r="U27" t="b">
        <f t="shared" si="0"/>
        <v>0</v>
      </c>
    </row>
    <row r="28" spans="1:21" hidden="1" x14ac:dyDescent="0.3">
      <c r="A28">
        <v>27</v>
      </c>
      <c r="B28" t="s">
        <v>30</v>
      </c>
      <c r="C28">
        <v>1</v>
      </c>
      <c r="D28">
        <v>0</v>
      </c>
      <c r="E28">
        <v>1</v>
      </c>
      <c r="F28" t="s">
        <v>2</v>
      </c>
      <c r="G28">
        <v>0</v>
      </c>
      <c r="H28">
        <v>0</v>
      </c>
      <c r="I28" t="s">
        <v>126</v>
      </c>
      <c r="J28">
        <v>4</v>
      </c>
      <c r="K28" t="s">
        <v>124</v>
      </c>
      <c r="L28">
        <v>1</v>
      </c>
      <c r="M28" t="s">
        <v>3</v>
      </c>
      <c r="N28">
        <v>0.14000000000000001</v>
      </c>
      <c r="O28">
        <v>0.1212</v>
      </c>
      <c r="P28">
        <v>0.59</v>
      </c>
      <c r="Q28" s="14">
        <v>0.28360000000000002</v>
      </c>
      <c r="R28">
        <v>1</v>
      </c>
      <c r="S28">
        <v>6</v>
      </c>
      <c r="T28">
        <v>7</v>
      </c>
      <c r="U28" t="b">
        <f t="shared" si="0"/>
        <v>0</v>
      </c>
    </row>
    <row r="29" spans="1:21" hidden="1" x14ac:dyDescent="0.3">
      <c r="A29">
        <v>28</v>
      </c>
      <c r="B29" t="s">
        <v>30</v>
      </c>
      <c r="C29">
        <v>1</v>
      </c>
      <c r="D29">
        <v>0</v>
      </c>
      <c r="E29">
        <v>1</v>
      </c>
      <c r="F29" t="s">
        <v>2</v>
      </c>
      <c r="G29">
        <v>10</v>
      </c>
      <c r="H29">
        <v>0</v>
      </c>
      <c r="I29" t="s">
        <v>126</v>
      </c>
      <c r="J29">
        <v>4</v>
      </c>
      <c r="K29" t="s">
        <v>124</v>
      </c>
      <c r="L29">
        <v>2</v>
      </c>
      <c r="M29" t="s">
        <v>4</v>
      </c>
      <c r="N29">
        <v>0.16</v>
      </c>
      <c r="O29">
        <v>0.13639999999999999</v>
      </c>
      <c r="P29">
        <v>0.5</v>
      </c>
      <c r="Q29" s="14">
        <v>0.35820000000000002</v>
      </c>
      <c r="R29">
        <v>2</v>
      </c>
      <c r="S29">
        <v>36</v>
      </c>
      <c r="T29">
        <v>38</v>
      </c>
      <c r="U29" t="b">
        <f t="shared" si="0"/>
        <v>0</v>
      </c>
    </row>
    <row r="30" spans="1:21" hidden="1" x14ac:dyDescent="0.3">
      <c r="A30">
        <v>29</v>
      </c>
      <c r="B30" t="s">
        <v>32</v>
      </c>
      <c r="C30">
        <v>1</v>
      </c>
      <c r="D30">
        <v>0</v>
      </c>
      <c r="E30">
        <v>1</v>
      </c>
      <c r="F30" t="s">
        <v>2</v>
      </c>
      <c r="G30">
        <v>0</v>
      </c>
      <c r="H30">
        <v>0</v>
      </c>
      <c r="I30" t="s">
        <v>125</v>
      </c>
      <c r="J30">
        <v>5</v>
      </c>
      <c r="K30" t="s">
        <v>124</v>
      </c>
      <c r="L30">
        <v>1</v>
      </c>
      <c r="M30" t="s">
        <v>3</v>
      </c>
      <c r="N30">
        <v>0.12</v>
      </c>
      <c r="O30">
        <v>0.13639999999999999</v>
      </c>
      <c r="P30">
        <v>0.5</v>
      </c>
      <c r="Q30" s="14">
        <v>0.19400000000000001</v>
      </c>
      <c r="R30">
        <v>0</v>
      </c>
      <c r="S30">
        <v>14</v>
      </c>
      <c r="T30">
        <v>14</v>
      </c>
      <c r="U30" t="b">
        <f t="shared" si="0"/>
        <v>0</v>
      </c>
    </row>
    <row r="31" spans="1:21" hidden="1" x14ac:dyDescent="0.3">
      <c r="A31">
        <v>30</v>
      </c>
      <c r="B31" t="s">
        <v>32</v>
      </c>
      <c r="C31">
        <v>1</v>
      </c>
      <c r="D31">
        <v>0</v>
      </c>
      <c r="E31">
        <v>1</v>
      </c>
      <c r="F31" t="s">
        <v>2</v>
      </c>
      <c r="G31">
        <v>22</v>
      </c>
      <c r="H31">
        <v>1</v>
      </c>
      <c r="I31" t="s">
        <v>125</v>
      </c>
      <c r="J31">
        <v>5</v>
      </c>
      <c r="K31" t="s">
        <v>124</v>
      </c>
      <c r="L31">
        <v>2</v>
      </c>
      <c r="M31" t="s">
        <v>4</v>
      </c>
      <c r="N31">
        <v>0.16</v>
      </c>
      <c r="O31">
        <v>0.2273</v>
      </c>
      <c r="P31">
        <v>0.69</v>
      </c>
      <c r="Q31" s="14">
        <v>0</v>
      </c>
      <c r="R31">
        <v>2</v>
      </c>
      <c r="S31">
        <v>34</v>
      </c>
      <c r="T31">
        <v>36</v>
      </c>
      <c r="U31" t="b">
        <f t="shared" si="0"/>
        <v>0</v>
      </c>
    </row>
    <row r="32" spans="1:21" hidden="1" x14ac:dyDescent="0.3">
      <c r="A32">
        <v>31</v>
      </c>
      <c r="B32" t="s">
        <v>34</v>
      </c>
      <c r="C32">
        <v>1</v>
      </c>
      <c r="D32">
        <v>0</v>
      </c>
      <c r="E32">
        <v>1</v>
      </c>
      <c r="F32" t="s">
        <v>2</v>
      </c>
      <c r="G32">
        <v>0</v>
      </c>
      <c r="H32">
        <v>0</v>
      </c>
      <c r="I32" t="s">
        <v>125</v>
      </c>
      <c r="J32">
        <v>6</v>
      </c>
      <c r="K32" t="s">
        <v>108</v>
      </c>
      <c r="L32">
        <v>1</v>
      </c>
      <c r="M32" t="s">
        <v>3</v>
      </c>
      <c r="N32">
        <v>0.18</v>
      </c>
      <c r="O32">
        <v>0.2424</v>
      </c>
      <c r="P32">
        <v>0.55000000000000004</v>
      </c>
      <c r="Q32" s="14">
        <v>0</v>
      </c>
      <c r="R32">
        <v>3</v>
      </c>
      <c r="S32">
        <v>25</v>
      </c>
      <c r="T32">
        <v>28</v>
      </c>
      <c r="U32" t="b">
        <f t="shared" si="0"/>
        <v>0</v>
      </c>
    </row>
    <row r="33" spans="1:21" hidden="1" x14ac:dyDescent="0.3">
      <c r="A33">
        <v>32</v>
      </c>
      <c r="B33" t="s">
        <v>34</v>
      </c>
      <c r="C33">
        <v>1</v>
      </c>
      <c r="D33">
        <v>0</v>
      </c>
      <c r="E33">
        <v>1</v>
      </c>
      <c r="F33" t="s">
        <v>2</v>
      </c>
      <c r="G33">
        <v>1</v>
      </c>
      <c r="H33">
        <v>0</v>
      </c>
      <c r="I33" t="s">
        <v>125</v>
      </c>
      <c r="J33">
        <v>6</v>
      </c>
      <c r="K33" t="s">
        <v>108</v>
      </c>
      <c r="L33">
        <v>2</v>
      </c>
      <c r="M33" t="s">
        <v>4</v>
      </c>
      <c r="N33">
        <v>0.16</v>
      </c>
      <c r="O33">
        <v>0.19700000000000001</v>
      </c>
      <c r="P33">
        <v>0.59</v>
      </c>
      <c r="Q33" s="14">
        <v>8.9599999999999999E-2</v>
      </c>
      <c r="R33">
        <v>2</v>
      </c>
      <c r="S33">
        <v>18</v>
      </c>
      <c r="T33">
        <v>20</v>
      </c>
      <c r="U33" t="b">
        <f t="shared" si="0"/>
        <v>0</v>
      </c>
    </row>
    <row r="34" spans="1:21" hidden="1" x14ac:dyDescent="0.3">
      <c r="A34">
        <v>33</v>
      </c>
      <c r="B34" t="s">
        <v>36</v>
      </c>
      <c r="C34">
        <v>1</v>
      </c>
      <c r="D34">
        <v>0</v>
      </c>
      <c r="E34">
        <v>1</v>
      </c>
      <c r="F34" t="s">
        <v>2</v>
      </c>
      <c r="G34">
        <v>0</v>
      </c>
      <c r="H34">
        <v>0</v>
      </c>
      <c r="I34" t="s">
        <v>125</v>
      </c>
      <c r="J34">
        <v>0</v>
      </c>
      <c r="K34" t="s">
        <v>108</v>
      </c>
      <c r="L34">
        <v>1</v>
      </c>
      <c r="M34" t="s">
        <v>3</v>
      </c>
      <c r="N34">
        <v>0.26</v>
      </c>
      <c r="O34">
        <v>0.30299999999999999</v>
      </c>
      <c r="P34">
        <v>0.56000000000000005</v>
      </c>
      <c r="Q34" s="14">
        <v>0</v>
      </c>
      <c r="R34">
        <v>6</v>
      </c>
      <c r="S34">
        <v>33</v>
      </c>
      <c r="T34">
        <v>39</v>
      </c>
      <c r="U34" t="b">
        <f t="shared" si="0"/>
        <v>0</v>
      </c>
    </row>
    <row r="35" spans="1:21" hidden="1" x14ac:dyDescent="0.3">
      <c r="A35">
        <v>34</v>
      </c>
      <c r="B35" t="s">
        <v>36</v>
      </c>
      <c r="C35">
        <v>1</v>
      </c>
      <c r="D35">
        <v>0</v>
      </c>
      <c r="E35">
        <v>1</v>
      </c>
      <c r="F35" t="s">
        <v>2</v>
      </c>
      <c r="G35">
        <v>5</v>
      </c>
      <c r="H35">
        <v>0</v>
      </c>
      <c r="I35" t="s">
        <v>125</v>
      </c>
      <c r="J35">
        <v>0</v>
      </c>
      <c r="K35" t="s">
        <v>108</v>
      </c>
      <c r="L35">
        <v>2</v>
      </c>
      <c r="M35" t="s">
        <v>4</v>
      </c>
      <c r="N35">
        <v>0.26</v>
      </c>
      <c r="O35">
        <v>0.2576</v>
      </c>
      <c r="P35">
        <v>0.56000000000000005</v>
      </c>
      <c r="Q35" s="14">
        <v>0.16420000000000001</v>
      </c>
      <c r="R35">
        <v>1</v>
      </c>
      <c r="S35">
        <v>1</v>
      </c>
      <c r="T35">
        <v>2</v>
      </c>
      <c r="U35" t="b">
        <f t="shared" si="0"/>
        <v>0</v>
      </c>
    </row>
    <row r="36" spans="1:21" hidden="1" x14ac:dyDescent="0.3">
      <c r="A36">
        <v>35</v>
      </c>
      <c r="B36" t="s">
        <v>38</v>
      </c>
      <c r="C36">
        <v>1</v>
      </c>
      <c r="D36">
        <v>0</v>
      </c>
      <c r="E36">
        <v>1</v>
      </c>
      <c r="F36" t="s">
        <v>2</v>
      </c>
      <c r="G36">
        <v>0</v>
      </c>
      <c r="H36">
        <v>0</v>
      </c>
      <c r="I36" t="s">
        <v>126</v>
      </c>
      <c r="J36">
        <v>1</v>
      </c>
      <c r="K36" t="s">
        <v>124</v>
      </c>
      <c r="L36">
        <v>2</v>
      </c>
      <c r="M36" t="s">
        <v>4</v>
      </c>
      <c r="N36">
        <v>0.2</v>
      </c>
      <c r="O36">
        <v>0.19700000000000001</v>
      </c>
      <c r="P36">
        <v>0.47</v>
      </c>
      <c r="Q36" s="14">
        <v>0.22389999999999999</v>
      </c>
      <c r="R36">
        <v>1</v>
      </c>
      <c r="S36">
        <v>16</v>
      </c>
      <c r="T36">
        <v>17</v>
      </c>
      <c r="U36" t="b">
        <f t="shared" si="0"/>
        <v>0</v>
      </c>
    </row>
    <row r="37" spans="1:21" hidden="1" x14ac:dyDescent="0.3">
      <c r="A37">
        <v>36</v>
      </c>
      <c r="B37" t="s">
        <v>38</v>
      </c>
      <c r="C37">
        <v>1</v>
      </c>
      <c r="D37">
        <v>0</v>
      </c>
      <c r="E37">
        <v>1</v>
      </c>
      <c r="F37" t="s">
        <v>2</v>
      </c>
      <c r="G37">
        <v>17</v>
      </c>
      <c r="H37">
        <v>1</v>
      </c>
      <c r="I37" t="s">
        <v>126</v>
      </c>
      <c r="J37">
        <v>1</v>
      </c>
      <c r="K37" t="s">
        <v>124</v>
      </c>
      <c r="L37">
        <v>1</v>
      </c>
      <c r="M37" t="s">
        <v>3</v>
      </c>
      <c r="N37">
        <v>0.2</v>
      </c>
      <c r="O37">
        <v>0.19700000000000001</v>
      </c>
      <c r="P37">
        <v>0.51</v>
      </c>
      <c r="Q37" s="14">
        <v>0.19400000000000001</v>
      </c>
      <c r="R37">
        <v>4</v>
      </c>
      <c r="S37">
        <v>67</v>
      </c>
      <c r="T37">
        <v>71</v>
      </c>
      <c r="U37" t="b">
        <f t="shared" si="0"/>
        <v>0</v>
      </c>
    </row>
    <row r="38" spans="1:21" hidden="1" x14ac:dyDescent="0.3">
      <c r="A38">
        <v>37</v>
      </c>
      <c r="B38" t="s">
        <v>38</v>
      </c>
      <c r="C38">
        <v>1</v>
      </c>
      <c r="D38">
        <v>0</v>
      </c>
      <c r="E38">
        <v>1</v>
      </c>
      <c r="F38" t="s">
        <v>2</v>
      </c>
      <c r="G38">
        <v>19</v>
      </c>
      <c r="H38">
        <v>1</v>
      </c>
      <c r="I38" t="s">
        <v>125</v>
      </c>
      <c r="J38">
        <v>1</v>
      </c>
      <c r="K38" t="s">
        <v>124</v>
      </c>
      <c r="L38">
        <v>3</v>
      </c>
      <c r="M38" t="s">
        <v>6</v>
      </c>
      <c r="N38">
        <v>0.18</v>
      </c>
      <c r="O38">
        <v>0.18179999999999999</v>
      </c>
      <c r="P38">
        <v>0.59</v>
      </c>
      <c r="Q38" s="14">
        <v>0.19400000000000001</v>
      </c>
      <c r="R38">
        <v>2</v>
      </c>
      <c r="S38">
        <v>58</v>
      </c>
      <c r="T38">
        <v>60</v>
      </c>
      <c r="U38" t="b">
        <f t="shared" si="0"/>
        <v>0</v>
      </c>
    </row>
    <row r="39" spans="1:21" hidden="1" x14ac:dyDescent="0.3">
      <c r="A39">
        <v>38</v>
      </c>
      <c r="B39" t="s">
        <v>40</v>
      </c>
      <c r="C39">
        <v>1</v>
      </c>
      <c r="D39">
        <v>0</v>
      </c>
      <c r="E39">
        <v>1</v>
      </c>
      <c r="F39" t="s">
        <v>2</v>
      </c>
      <c r="G39">
        <v>12</v>
      </c>
      <c r="H39">
        <v>1</v>
      </c>
      <c r="I39" t="s">
        <v>126</v>
      </c>
      <c r="J39">
        <v>2</v>
      </c>
      <c r="K39" t="s">
        <v>124</v>
      </c>
      <c r="L39">
        <v>2</v>
      </c>
      <c r="M39" t="s">
        <v>4</v>
      </c>
      <c r="N39">
        <v>0.2</v>
      </c>
      <c r="O39">
        <v>0.18179999999999999</v>
      </c>
      <c r="P39">
        <v>0.86</v>
      </c>
      <c r="Q39" s="14">
        <v>0.32840000000000003</v>
      </c>
      <c r="R39">
        <v>0</v>
      </c>
      <c r="S39">
        <v>3</v>
      </c>
      <c r="T39">
        <v>3</v>
      </c>
      <c r="U39" t="b">
        <f t="shared" si="0"/>
        <v>0</v>
      </c>
    </row>
    <row r="40" spans="1:21" hidden="1" x14ac:dyDescent="0.3">
      <c r="A40">
        <v>39</v>
      </c>
      <c r="B40" t="s">
        <v>42</v>
      </c>
      <c r="C40">
        <v>1</v>
      </c>
      <c r="D40">
        <v>0</v>
      </c>
      <c r="E40">
        <v>1</v>
      </c>
      <c r="F40" t="s">
        <v>2</v>
      </c>
      <c r="G40">
        <v>0</v>
      </c>
      <c r="H40">
        <v>0</v>
      </c>
      <c r="I40" t="s">
        <v>126</v>
      </c>
      <c r="J40">
        <v>3</v>
      </c>
      <c r="K40" t="s">
        <v>124</v>
      </c>
      <c r="L40">
        <v>2</v>
      </c>
      <c r="M40" t="s">
        <v>4</v>
      </c>
      <c r="N40">
        <v>0.22</v>
      </c>
      <c r="O40">
        <v>0.2727</v>
      </c>
      <c r="P40">
        <v>0.93</v>
      </c>
      <c r="Q40" s="14">
        <v>0</v>
      </c>
      <c r="R40">
        <v>0</v>
      </c>
      <c r="S40">
        <v>3</v>
      </c>
      <c r="T40">
        <v>3</v>
      </c>
      <c r="U40" t="b">
        <f t="shared" si="0"/>
        <v>0</v>
      </c>
    </row>
    <row r="41" spans="1:21" hidden="1" x14ac:dyDescent="0.3">
      <c r="A41">
        <v>40</v>
      </c>
      <c r="B41" t="s">
        <v>42</v>
      </c>
      <c r="C41">
        <v>1</v>
      </c>
      <c r="D41">
        <v>0</v>
      </c>
      <c r="E41">
        <v>1</v>
      </c>
      <c r="F41" t="s">
        <v>2</v>
      </c>
      <c r="G41">
        <v>1</v>
      </c>
      <c r="H41">
        <v>0</v>
      </c>
      <c r="I41" t="s">
        <v>126</v>
      </c>
      <c r="J41">
        <v>3</v>
      </c>
      <c r="K41" t="s">
        <v>124</v>
      </c>
      <c r="L41">
        <v>3</v>
      </c>
      <c r="M41" t="s">
        <v>6</v>
      </c>
      <c r="N41">
        <v>0.22</v>
      </c>
      <c r="O41">
        <v>0.2273</v>
      </c>
      <c r="P41">
        <v>0.93</v>
      </c>
      <c r="Q41" s="14">
        <v>0.1343</v>
      </c>
      <c r="R41">
        <v>1</v>
      </c>
      <c r="S41">
        <v>6</v>
      </c>
      <c r="T41">
        <v>7</v>
      </c>
      <c r="U41" t="b">
        <f t="shared" si="0"/>
        <v>0</v>
      </c>
    </row>
    <row r="42" spans="1:21" hidden="1" x14ac:dyDescent="0.3">
      <c r="A42">
        <v>41</v>
      </c>
      <c r="B42" t="s">
        <v>42</v>
      </c>
      <c r="C42">
        <v>1</v>
      </c>
      <c r="D42">
        <v>0</v>
      </c>
      <c r="E42">
        <v>1</v>
      </c>
      <c r="F42" t="s">
        <v>2</v>
      </c>
      <c r="G42">
        <v>13</v>
      </c>
      <c r="H42">
        <v>1</v>
      </c>
      <c r="I42" t="s">
        <v>126</v>
      </c>
      <c r="J42">
        <v>3</v>
      </c>
      <c r="K42" t="s">
        <v>124</v>
      </c>
      <c r="L42">
        <v>1</v>
      </c>
      <c r="M42" t="s">
        <v>3</v>
      </c>
      <c r="N42">
        <v>0.4</v>
      </c>
      <c r="O42">
        <v>0.40910000000000002</v>
      </c>
      <c r="P42">
        <v>0.62</v>
      </c>
      <c r="Q42" s="14">
        <v>0.28360000000000002</v>
      </c>
      <c r="R42">
        <v>11</v>
      </c>
      <c r="S42">
        <v>67</v>
      </c>
      <c r="T42">
        <v>78</v>
      </c>
      <c r="U42" t="b">
        <f t="shared" si="0"/>
        <v>0</v>
      </c>
    </row>
    <row r="43" spans="1:21" hidden="1" x14ac:dyDescent="0.3">
      <c r="A43">
        <v>42</v>
      </c>
      <c r="B43" t="s">
        <v>44</v>
      </c>
      <c r="C43">
        <v>1</v>
      </c>
      <c r="D43">
        <v>0</v>
      </c>
      <c r="E43">
        <v>1</v>
      </c>
      <c r="F43" t="s">
        <v>2</v>
      </c>
      <c r="G43">
        <v>0</v>
      </c>
      <c r="H43">
        <v>0</v>
      </c>
      <c r="I43" t="s">
        <v>126</v>
      </c>
      <c r="J43">
        <v>4</v>
      </c>
      <c r="K43" t="s">
        <v>124</v>
      </c>
      <c r="L43">
        <v>1</v>
      </c>
      <c r="M43" t="s">
        <v>3</v>
      </c>
      <c r="N43">
        <v>0.26</v>
      </c>
      <c r="O43">
        <v>0.2273</v>
      </c>
      <c r="P43">
        <v>0.56000000000000005</v>
      </c>
      <c r="Q43" s="14">
        <v>0.3881</v>
      </c>
      <c r="R43">
        <v>5</v>
      </c>
      <c r="S43">
        <v>8</v>
      </c>
      <c r="T43">
        <v>13</v>
      </c>
      <c r="U43" t="b">
        <f t="shared" si="0"/>
        <v>0</v>
      </c>
    </row>
    <row r="44" spans="1:21" x14ac:dyDescent="0.3">
      <c r="A44">
        <v>43</v>
      </c>
      <c r="B44" t="s">
        <v>44</v>
      </c>
      <c r="C44">
        <v>1</v>
      </c>
      <c r="D44">
        <v>0</v>
      </c>
      <c r="E44">
        <v>1</v>
      </c>
      <c r="F44" t="s">
        <v>2</v>
      </c>
      <c r="G44">
        <v>9</v>
      </c>
      <c r="H44">
        <v>0</v>
      </c>
      <c r="I44" t="s">
        <v>126</v>
      </c>
      <c r="J44">
        <v>4</v>
      </c>
      <c r="K44" t="s">
        <v>124</v>
      </c>
      <c r="L44">
        <v>2</v>
      </c>
      <c r="M44" t="s">
        <v>4</v>
      </c>
      <c r="N44">
        <v>0.24</v>
      </c>
      <c r="O44">
        <v>0.2273</v>
      </c>
      <c r="P44">
        <v>0.52</v>
      </c>
      <c r="Q44" s="14">
        <v>0.22389999999999999</v>
      </c>
      <c r="R44">
        <v>3</v>
      </c>
      <c r="S44">
        <v>140</v>
      </c>
      <c r="T44">
        <v>143</v>
      </c>
      <c r="U44" s="17" t="b">
        <f t="shared" si="0"/>
        <v>1</v>
      </c>
    </row>
    <row r="45" spans="1:21" hidden="1" x14ac:dyDescent="0.3">
      <c r="A45">
        <v>44</v>
      </c>
      <c r="B45" t="s">
        <v>46</v>
      </c>
      <c r="C45">
        <v>1</v>
      </c>
      <c r="D45">
        <v>0</v>
      </c>
      <c r="E45">
        <v>1</v>
      </c>
      <c r="F45" t="s">
        <v>2</v>
      </c>
      <c r="G45">
        <v>0</v>
      </c>
      <c r="H45">
        <v>0</v>
      </c>
      <c r="I45" t="s">
        <v>125</v>
      </c>
      <c r="J45">
        <v>5</v>
      </c>
      <c r="K45" t="s">
        <v>124</v>
      </c>
      <c r="L45">
        <v>2</v>
      </c>
      <c r="M45" t="s">
        <v>4</v>
      </c>
      <c r="N45">
        <v>0.24</v>
      </c>
      <c r="O45">
        <v>0.2273</v>
      </c>
      <c r="P45">
        <v>0.7</v>
      </c>
      <c r="Q45" s="14">
        <v>0.25369999999999998</v>
      </c>
      <c r="R45">
        <v>1</v>
      </c>
      <c r="S45">
        <v>20</v>
      </c>
      <c r="T45">
        <v>21</v>
      </c>
      <c r="U45" t="b">
        <f t="shared" si="0"/>
        <v>0</v>
      </c>
    </row>
    <row r="46" spans="1:21" hidden="1" x14ac:dyDescent="0.3">
      <c r="A46">
        <v>45</v>
      </c>
      <c r="B46" t="s">
        <v>46</v>
      </c>
      <c r="C46">
        <v>1</v>
      </c>
      <c r="D46">
        <v>0</v>
      </c>
      <c r="E46">
        <v>1</v>
      </c>
      <c r="F46" t="s">
        <v>2</v>
      </c>
      <c r="G46">
        <v>2</v>
      </c>
      <c r="H46">
        <v>0</v>
      </c>
      <c r="I46" t="s">
        <v>125</v>
      </c>
      <c r="J46">
        <v>5</v>
      </c>
      <c r="K46" t="s">
        <v>124</v>
      </c>
      <c r="L46">
        <v>3</v>
      </c>
      <c r="M46" t="s">
        <v>6</v>
      </c>
      <c r="N46">
        <v>0.24</v>
      </c>
      <c r="O46">
        <v>0.2424</v>
      </c>
      <c r="P46">
        <v>0.75</v>
      </c>
      <c r="Q46" s="14">
        <v>0.16420000000000001</v>
      </c>
      <c r="R46">
        <v>0</v>
      </c>
      <c r="S46">
        <v>2</v>
      </c>
      <c r="T46">
        <v>2</v>
      </c>
      <c r="U46" t="b">
        <f t="shared" si="0"/>
        <v>0</v>
      </c>
    </row>
    <row r="47" spans="1:21" hidden="1" x14ac:dyDescent="0.3">
      <c r="A47">
        <v>46</v>
      </c>
      <c r="B47" t="s">
        <v>46</v>
      </c>
      <c r="C47">
        <v>1</v>
      </c>
      <c r="D47">
        <v>0</v>
      </c>
      <c r="E47">
        <v>1</v>
      </c>
      <c r="F47" t="s">
        <v>2</v>
      </c>
      <c r="G47">
        <v>5</v>
      </c>
      <c r="H47">
        <v>0</v>
      </c>
      <c r="I47" t="s">
        <v>125</v>
      </c>
      <c r="J47">
        <v>5</v>
      </c>
      <c r="K47" t="s">
        <v>124</v>
      </c>
      <c r="L47">
        <v>1</v>
      </c>
      <c r="M47" t="s">
        <v>3</v>
      </c>
      <c r="N47">
        <v>0.24</v>
      </c>
      <c r="O47">
        <v>0.19700000000000001</v>
      </c>
      <c r="P47">
        <v>0.6</v>
      </c>
      <c r="Q47" s="14">
        <v>0.41789999999999999</v>
      </c>
      <c r="R47">
        <v>1</v>
      </c>
      <c r="S47">
        <v>4</v>
      </c>
      <c r="T47">
        <v>5</v>
      </c>
      <c r="U47" t="b">
        <f t="shared" si="0"/>
        <v>0</v>
      </c>
    </row>
    <row r="48" spans="1:21" hidden="1" x14ac:dyDescent="0.3">
      <c r="A48">
        <v>47</v>
      </c>
      <c r="B48" t="s">
        <v>48</v>
      </c>
      <c r="C48">
        <v>1</v>
      </c>
      <c r="D48">
        <v>0</v>
      </c>
      <c r="E48">
        <v>1</v>
      </c>
      <c r="F48" t="s">
        <v>2</v>
      </c>
      <c r="G48">
        <v>0</v>
      </c>
      <c r="H48">
        <v>0</v>
      </c>
      <c r="I48" t="s">
        <v>125</v>
      </c>
      <c r="J48">
        <v>6</v>
      </c>
      <c r="K48" t="s">
        <v>108</v>
      </c>
      <c r="L48">
        <v>1</v>
      </c>
      <c r="M48" t="s">
        <v>3</v>
      </c>
      <c r="N48">
        <v>0.04</v>
      </c>
      <c r="O48">
        <v>3.0300000000000001E-2</v>
      </c>
      <c r="P48">
        <v>0.45</v>
      </c>
      <c r="Q48" s="14">
        <v>0.25369999999999998</v>
      </c>
      <c r="R48">
        <v>0</v>
      </c>
      <c r="S48">
        <v>13</v>
      </c>
      <c r="T48">
        <v>13</v>
      </c>
      <c r="U48" t="b">
        <f t="shared" si="0"/>
        <v>0</v>
      </c>
    </row>
    <row r="49" spans="1:21" hidden="1" x14ac:dyDescent="0.3">
      <c r="A49">
        <v>48</v>
      </c>
      <c r="B49" t="s">
        <v>48</v>
      </c>
      <c r="C49">
        <v>1</v>
      </c>
      <c r="D49">
        <v>0</v>
      </c>
      <c r="E49">
        <v>1</v>
      </c>
      <c r="F49" t="s">
        <v>2</v>
      </c>
      <c r="G49">
        <v>1</v>
      </c>
      <c r="H49">
        <v>0</v>
      </c>
      <c r="I49" t="s">
        <v>125</v>
      </c>
      <c r="J49">
        <v>6</v>
      </c>
      <c r="K49" t="s">
        <v>108</v>
      </c>
      <c r="L49">
        <v>2</v>
      </c>
      <c r="M49" t="s">
        <v>4</v>
      </c>
      <c r="N49">
        <v>0.04</v>
      </c>
      <c r="O49">
        <v>0</v>
      </c>
      <c r="P49">
        <v>0.41</v>
      </c>
      <c r="Q49" s="14">
        <v>0.3881</v>
      </c>
      <c r="R49">
        <v>3</v>
      </c>
      <c r="S49">
        <v>9</v>
      </c>
      <c r="T49">
        <v>12</v>
      </c>
      <c r="U49" t="b">
        <f t="shared" si="0"/>
        <v>0</v>
      </c>
    </row>
    <row r="50" spans="1:21" hidden="1" x14ac:dyDescent="0.3">
      <c r="A50">
        <v>49</v>
      </c>
      <c r="B50" t="s">
        <v>50</v>
      </c>
      <c r="C50">
        <v>1</v>
      </c>
      <c r="D50">
        <v>0</v>
      </c>
      <c r="E50">
        <v>1</v>
      </c>
      <c r="F50" t="s">
        <v>2</v>
      </c>
      <c r="G50">
        <v>0</v>
      </c>
      <c r="H50">
        <v>0</v>
      </c>
      <c r="I50" t="s">
        <v>125</v>
      </c>
      <c r="J50">
        <v>0</v>
      </c>
      <c r="K50" t="s">
        <v>108</v>
      </c>
      <c r="L50">
        <v>1</v>
      </c>
      <c r="M50" t="s">
        <v>3</v>
      </c>
      <c r="N50">
        <v>0.04</v>
      </c>
      <c r="O50">
        <v>7.5800000000000006E-2</v>
      </c>
      <c r="P50">
        <v>0.56999999999999995</v>
      </c>
      <c r="Q50" s="14">
        <v>0.1045</v>
      </c>
      <c r="R50">
        <v>2</v>
      </c>
      <c r="S50">
        <v>20</v>
      </c>
      <c r="T50">
        <v>22</v>
      </c>
      <c r="U50" t="b">
        <f t="shared" si="0"/>
        <v>0</v>
      </c>
    </row>
    <row r="51" spans="1:21" hidden="1" x14ac:dyDescent="0.3">
      <c r="A51">
        <v>50</v>
      </c>
      <c r="B51" t="s">
        <v>50</v>
      </c>
      <c r="C51">
        <v>1</v>
      </c>
      <c r="D51">
        <v>0</v>
      </c>
      <c r="E51">
        <v>1</v>
      </c>
      <c r="F51" t="s">
        <v>2</v>
      </c>
      <c r="G51">
        <v>5</v>
      </c>
      <c r="H51">
        <v>0</v>
      </c>
      <c r="I51" t="s">
        <v>125</v>
      </c>
      <c r="J51">
        <v>0</v>
      </c>
      <c r="K51" t="s">
        <v>108</v>
      </c>
      <c r="L51">
        <v>2</v>
      </c>
      <c r="M51" t="s">
        <v>4</v>
      </c>
      <c r="N51">
        <v>0.04</v>
      </c>
      <c r="O51">
        <v>7.5800000000000006E-2</v>
      </c>
      <c r="P51">
        <v>0.56999999999999995</v>
      </c>
      <c r="Q51" s="14">
        <v>0.1045</v>
      </c>
      <c r="R51">
        <v>0</v>
      </c>
      <c r="S51">
        <v>3</v>
      </c>
      <c r="T51">
        <v>3</v>
      </c>
      <c r="U51" t="b">
        <f t="shared" si="0"/>
        <v>0</v>
      </c>
    </row>
    <row r="52" spans="1:21" hidden="1" x14ac:dyDescent="0.3">
      <c r="A52">
        <v>51</v>
      </c>
      <c r="B52" t="s">
        <v>52</v>
      </c>
      <c r="C52">
        <v>1</v>
      </c>
      <c r="D52">
        <v>0</v>
      </c>
      <c r="E52">
        <v>1</v>
      </c>
      <c r="F52" t="s">
        <v>2</v>
      </c>
      <c r="G52">
        <v>0</v>
      </c>
      <c r="H52">
        <v>0</v>
      </c>
      <c r="I52" t="s">
        <v>126</v>
      </c>
      <c r="J52">
        <v>1</v>
      </c>
      <c r="K52" t="s">
        <v>124</v>
      </c>
      <c r="L52">
        <v>1</v>
      </c>
      <c r="M52" t="s">
        <v>3</v>
      </c>
      <c r="N52">
        <v>0.06</v>
      </c>
      <c r="O52">
        <v>6.0600000000000001E-2</v>
      </c>
      <c r="P52">
        <v>0.41</v>
      </c>
      <c r="Q52" s="14">
        <v>0.19400000000000001</v>
      </c>
      <c r="R52">
        <v>0</v>
      </c>
      <c r="S52">
        <v>7</v>
      </c>
      <c r="T52">
        <v>7</v>
      </c>
      <c r="U52" t="b">
        <f t="shared" si="0"/>
        <v>0</v>
      </c>
    </row>
    <row r="53" spans="1:21" hidden="1" x14ac:dyDescent="0.3">
      <c r="A53">
        <v>52</v>
      </c>
      <c r="B53" t="s">
        <v>52</v>
      </c>
      <c r="C53">
        <v>1</v>
      </c>
      <c r="D53">
        <v>0</v>
      </c>
      <c r="E53">
        <v>1</v>
      </c>
      <c r="F53" t="s">
        <v>2</v>
      </c>
      <c r="G53">
        <v>12</v>
      </c>
      <c r="H53">
        <v>1</v>
      </c>
      <c r="I53" t="s">
        <v>126</v>
      </c>
      <c r="J53">
        <v>1</v>
      </c>
      <c r="K53" t="s">
        <v>124</v>
      </c>
      <c r="L53">
        <v>2</v>
      </c>
      <c r="M53" t="s">
        <v>4</v>
      </c>
      <c r="N53">
        <v>0.12</v>
      </c>
      <c r="O53">
        <v>0.13639999999999999</v>
      </c>
      <c r="P53">
        <v>0.42</v>
      </c>
      <c r="Q53" s="14">
        <v>0.19400000000000001</v>
      </c>
      <c r="R53">
        <v>11</v>
      </c>
      <c r="S53">
        <v>52</v>
      </c>
      <c r="T53">
        <v>63</v>
      </c>
      <c r="U53" t="b">
        <f t="shared" si="0"/>
        <v>0</v>
      </c>
    </row>
    <row r="54" spans="1:21" hidden="1" x14ac:dyDescent="0.3">
      <c r="A54">
        <v>53</v>
      </c>
      <c r="B54" t="s">
        <v>54</v>
      </c>
      <c r="C54">
        <v>1</v>
      </c>
      <c r="D54">
        <v>0</v>
      </c>
      <c r="E54">
        <v>1</v>
      </c>
      <c r="F54" t="s">
        <v>2</v>
      </c>
      <c r="G54">
        <v>0</v>
      </c>
      <c r="H54">
        <v>0</v>
      </c>
      <c r="I54" t="s">
        <v>125</v>
      </c>
      <c r="J54">
        <v>2</v>
      </c>
      <c r="K54" t="s">
        <v>124</v>
      </c>
      <c r="L54">
        <v>2</v>
      </c>
      <c r="M54" t="s">
        <v>4</v>
      </c>
      <c r="N54">
        <v>0.16</v>
      </c>
      <c r="O54">
        <v>0.13639999999999999</v>
      </c>
      <c r="P54">
        <v>0.69</v>
      </c>
      <c r="Q54" s="14">
        <v>0.28360000000000002</v>
      </c>
      <c r="R54">
        <v>3</v>
      </c>
      <c r="S54">
        <v>6</v>
      </c>
      <c r="T54">
        <v>9</v>
      </c>
      <c r="U54" t="b">
        <f t="shared" si="0"/>
        <v>0</v>
      </c>
    </row>
    <row r="55" spans="1:21" hidden="1" x14ac:dyDescent="0.3">
      <c r="A55">
        <v>54</v>
      </c>
      <c r="B55" t="s">
        <v>54</v>
      </c>
      <c r="C55">
        <v>1</v>
      </c>
      <c r="D55">
        <v>0</v>
      </c>
      <c r="E55">
        <v>1</v>
      </c>
      <c r="F55" t="s">
        <v>2</v>
      </c>
      <c r="G55">
        <v>2</v>
      </c>
      <c r="H55">
        <v>0</v>
      </c>
      <c r="I55" t="s">
        <v>126</v>
      </c>
      <c r="J55">
        <v>2</v>
      </c>
      <c r="K55" t="s">
        <v>124</v>
      </c>
      <c r="L55">
        <v>1</v>
      </c>
      <c r="M55" t="s">
        <v>3</v>
      </c>
      <c r="N55">
        <v>0.16</v>
      </c>
      <c r="O55">
        <v>0.1515</v>
      </c>
      <c r="P55">
        <v>0.69</v>
      </c>
      <c r="Q55" s="14">
        <v>0.22389999999999999</v>
      </c>
      <c r="R55">
        <v>0</v>
      </c>
      <c r="S55">
        <v>2</v>
      </c>
      <c r="T55">
        <v>2</v>
      </c>
      <c r="U55" t="b">
        <f t="shared" si="0"/>
        <v>0</v>
      </c>
    </row>
    <row r="56" spans="1:21" hidden="1" x14ac:dyDescent="0.3">
      <c r="A56">
        <v>55</v>
      </c>
      <c r="B56" t="s">
        <v>56</v>
      </c>
      <c r="C56">
        <v>1</v>
      </c>
      <c r="D56">
        <v>0</v>
      </c>
      <c r="E56">
        <v>1</v>
      </c>
      <c r="F56" t="s">
        <v>2</v>
      </c>
      <c r="G56">
        <v>0</v>
      </c>
      <c r="H56">
        <v>0</v>
      </c>
      <c r="I56" t="s">
        <v>126</v>
      </c>
      <c r="J56">
        <v>3</v>
      </c>
      <c r="K56" t="s">
        <v>124</v>
      </c>
      <c r="L56">
        <v>2</v>
      </c>
      <c r="M56" t="s">
        <v>4</v>
      </c>
      <c r="N56">
        <v>0.22</v>
      </c>
      <c r="O56">
        <v>0.2273</v>
      </c>
      <c r="P56">
        <v>0.69</v>
      </c>
      <c r="Q56" s="14">
        <v>0.1343</v>
      </c>
      <c r="R56">
        <v>3</v>
      </c>
      <c r="S56">
        <v>14</v>
      </c>
      <c r="T56">
        <v>17</v>
      </c>
      <c r="U56" t="b">
        <f t="shared" si="0"/>
        <v>0</v>
      </c>
    </row>
    <row r="57" spans="1:21" hidden="1" x14ac:dyDescent="0.3">
      <c r="A57">
        <v>56</v>
      </c>
      <c r="B57" t="s">
        <v>56</v>
      </c>
      <c r="C57">
        <v>1</v>
      </c>
      <c r="D57">
        <v>0</v>
      </c>
      <c r="E57">
        <v>1</v>
      </c>
      <c r="F57" t="s">
        <v>2</v>
      </c>
      <c r="G57">
        <v>2</v>
      </c>
      <c r="H57">
        <v>0</v>
      </c>
      <c r="I57" t="s">
        <v>126</v>
      </c>
      <c r="J57">
        <v>3</v>
      </c>
      <c r="K57" t="s">
        <v>124</v>
      </c>
      <c r="L57">
        <v>3</v>
      </c>
      <c r="M57" t="s">
        <v>6</v>
      </c>
      <c r="N57">
        <v>0.22</v>
      </c>
      <c r="O57">
        <v>0.2273</v>
      </c>
      <c r="P57">
        <v>0.69</v>
      </c>
      <c r="Q57" s="14">
        <v>0.19400000000000001</v>
      </c>
      <c r="R57">
        <v>3</v>
      </c>
      <c r="S57">
        <v>7</v>
      </c>
      <c r="T57">
        <v>10</v>
      </c>
      <c r="U57" t="b">
        <f t="shared" si="0"/>
        <v>0</v>
      </c>
    </row>
    <row r="58" spans="1:21" hidden="1" x14ac:dyDescent="0.3">
      <c r="A58">
        <v>57</v>
      </c>
      <c r="B58" t="s">
        <v>56</v>
      </c>
      <c r="C58">
        <v>1</v>
      </c>
      <c r="D58">
        <v>0</v>
      </c>
      <c r="E58">
        <v>1</v>
      </c>
      <c r="F58" t="s">
        <v>2</v>
      </c>
      <c r="G58">
        <v>16</v>
      </c>
      <c r="H58">
        <v>1</v>
      </c>
      <c r="I58" t="s">
        <v>126</v>
      </c>
      <c r="J58">
        <v>3</v>
      </c>
      <c r="K58" t="s">
        <v>124</v>
      </c>
      <c r="L58">
        <v>4</v>
      </c>
      <c r="M58" t="s">
        <v>57</v>
      </c>
      <c r="N58">
        <v>0.22</v>
      </c>
      <c r="O58">
        <v>0.19700000000000001</v>
      </c>
      <c r="P58">
        <v>0.93</v>
      </c>
      <c r="Q58" s="14">
        <v>0.32840000000000003</v>
      </c>
      <c r="R58">
        <v>1</v>
      </c>
      <c r="S58">
        <v>35</v>
      </c>
      <c r="T58">
        <v>36</v>
      </c>
      <c r="U58" t="b">
        <f t="shared" si="0"/>
        <v>0</v>
      </c>
    </row>
    <row r="59" spans="1:21" hidden="1" x14ac:dyDescent="0.3">
      <c r="A59">
        <v>58</v>
      </c>
      <c r="B59" t="s">
        <v>59</v>
      </c>
      <c r="C59">
        <v>1</v>
      </c>
      <c r="D59">
        <v>0</v>
      </c>
      <c r="E59">
        <v>1</v>
      </c>
      <c r="F59" t="s">
        <v>2</v>
      </c>
      <c r="G59">
        <v>16</v>
      </c>
      <c r="H59">
        <v>1</v>
      </c>
      <c r="I59" t="s">
        <v>126</v>
      </c>
      <c r="J59">
        <v>4</v>
      </c>
      <c r="K59" t="s">
        <v>124</v>
      </c>
      <c r="L59">
        <v>1</v>
      </c>
      <c r="M59" t="s">
        <v>3</v>
      </c>
      <c r="N59">
        <v>0.22</v>
      </c>
      <c r="O59">
        <v>0.2273</v>
      </c>
      <c r="P59">
        <v>0.55000000000000004</v>
      </c>
      <c r="Q59" s="14">
        <v>0.19400000000000001</v>
      </c>
      <c r="R59">
        <v>1</v>
      </c>
      <c r="S59">
        <v>23</v>
      </c>
      <c r="T59">
        <v>24</v>
      </c>
      <c r="U59" t="b">
        <f t="shared" si="0"/>
        <v>0</v>
      </c>
    </row>
    <row r="60" spans="1:21" hidden="1" x14ac:dyDescent="0.3">
      <c r="A60">
        <v>59</v>
      </c>
      <c r="B60" t="s">
        <v>61</v>
      </c>
      <c r="C60">
        <v>1</v>
      </c>
      <c r="D60">
        <v>0</v>
      </c>
      <c r="E60">
        <v>1</v>
      </c>
      <c r="F60" t="s">
        <v>2</v>
      </c>
      <c r="G60">
        <v>0</v>
      </c>
      <c r="H60">
        <v>0</v>
      </c>
      <c r="I60" t="s">
        <v>125</v>
      </c>
      <c r="J60">
        <v>5</v>
      </c>
      <c r="K60" t="s">
        <v>124</v>
      </c>
      <c r="L60">
        <v>2</v>
      </c>
      <c r="M60" t="s">
        <v>4</v>
      </c>
      <c r="N60">
        <v>0.2</v>
      </c>
      <c r="O60">
        <v>0.21210000000000001</v>
      </c>
      <c r="P60">
        <v>0.75</v>
      </c>
      <c r="Q60" s="14">
        <v>0.1343</v>
      </c>
      <c r="R60">
        <v>0</v>
      </c>
      <c r="S60">
        <v>9</v>
      </c>
      <c r="T60">
        <v>9</v>
      </c>
      <c r="U60" t="b">
        <f t="shared" si="0"/>
        <v>0</v>
      </c>
    </row>
    <row r="61" spans="1:21" x14ac:dyDescent="0.3">
      <c r="A61">
        <v>60</v>
      </c>
      <c r="B61" t="s">
        <v>61</v>
      </c>
      <c r="C61">
        <v>1</v>
      </c>
      <c r="D61">
        <v>0</v>
      </c>
      <c r="E61">
        <v>1</v>
      </c>
      <c r="F61" t="s">
        <v>2</v>
      </c>
      <c r="G61">
        <v>9</v>
      </c>
      <c r="H61">
        <v>0</v>
      </c>
      <c r="I61" t="s">
        <v>125</v>
      </c>
      <c r="J61">
        <v>5</v>
      </c>
      <c r="K61" t="s">
        <v>124</v>
      </c>
      <c r="L61">
        <v>3</v>
      </c>
      <c r="M61" t="s">
        <v>6</v>
      </c>
      <c r="N61">
        <v>0.18</v>
      </c>
      <c r="O61">
        <v>0.21210000000000001</v>
      </c>
      <c r="P61">
        <v>0.86</v>
      </c>
      <c r="Q61" s="14">
        <v>8.9599999999999999E-2</v>
      </c>
      <c r="R61">
        <v>6</v>
      </c>
      <c r="S61">
        <v>95</v>
      </c>
      <c r="T61">
        <v>101</v>
      </c>
      <c r="U61" s="17" t="b">
        <f t="shared" si="0"/>
        <v>1</v>
      </c>
    </row>
    <row r="62" spans="1:21" hidden="1" x14ac:dyDescent="0.3">
      <c r="A62">
        <v>61</v>
      </c>
      <c r="B62" t="s">
        <v>63</v>
      </c>
      <c r="C62">
        <v>1</v>
      </c>
      <c r="D62">
        <v>0</v>
      </c>
      <c r="E62">
        <v>1</v>
      </c>
      <c r="F62" t="s">
        <v>2</v>
      </c>
      <c r="G62">
        <v>1</v>
      </c>
      <c r="H62">
        <v>0</v>
      </c>
      <c r="I62" t="s">
        <v>125</v>
      </c>
      <c r="J62">
        <v>6</v>
      </c>
      <c r="K62" t="s">
        <v>108</v>
      </c>
      <c r="L62">
        <v>1</v>
      </c>
      <c r="M62" t="s">
        <v>3</v>
      </c>
      <c r="N62">
        <v>0.22</v>
      </c>
      <c r="O62">
        <v>0.2273</v>
      </c>
      <c r="P62">
        <v>0.64</v>
      </c>
      <c r="Q62" s="14">
        <v>0.19400000000000001</v>
      </c>
      <c r="R62">
        <v>0</v>
      </c>
      <c r="S62">
        <v>20</v>
      </c>
      <c r="T62">
        <v>20</v>
      </c>
      <c r="U62" t="b">
        <f t="shared" si="0"/>
        <v>0</v>
      </c>
    </row>
    <row r="63" spans="1:21" hidden="1" x14ac:dyDescent="0.3">
      <c r="A63">
        <v>62</v>
      </c>
      <c r="B63" t="s">
        <v>63</v>
      </c>
      <c r="C63">
        <v>1</v>
      </c>
      <c r="D63">
        <v>0</v>
      </c>
      <c r="E63">
        <v>1</v>
      </c>
      <c r="F63" t="s">
        <v>2</v>
      </c>
      <c r="G63">
        <v>10</v>
      </c>
      <c r="H63">
        <v>0</v>
      </c>
      <c r="I63" t="s">
        <v>125</v>
      </c>
      <c r="J63">
        <v>6</v>
      </c>
      <c r="K63" t="s">
        <v>108</v>
      </c>
      <c r="L63">
        <v>2</v>
      </c>
      <c r="M63" t="s">
        <v>4</v>
      </c>
      <c r="N63">
        <v>0.18</v>
      </c>
      <c r="O63">
        <v>0.21210000000000001</v>
      </c>
      <c r="P63">
        <v>0.64</v>
      </c>
      <c r="Q63" s="14">
        <v>0.1045</v>
      </c>
      <c r="R63">
        <v>4</v>
      </c>
      <c r="S63">
        <v>51</v>
      </c>
      <c r="T63">
        <v>55</v>
      </c>
      <c r="U63" t="b">
        <f t="shared" si="0"/>
        <v>0</v>
      </c>
    </row>
    <row r="64" spans="1:21" hidden="1" x14ac:dyDescent="0.3">
      <c r="A64">
        <v>63</v>
      </c>
      <c r="B64" t="s">
        <v>65</v>
      </c>
      <c r="C64">
        <v>1</v>
      </c>
      <c r="D64">
        <v>0</v>
      </c>
      <c r="E64">
        <v>1</v>
      </c>
      <c r="F64" t="s">
        <v>2</v>
      </c>
      <c r="G64">
        <v>0</v>
      </c>
      <c r="H64">
        <v>0</v>
      </c>
      <c r="I64" t="s">
        <v>125</v>
      </c>
      <c r="J64">
        <v>0</v>
      </c>
      <c r="K64" t="s">
        <v>108</v>
      </c>
      <c r="L64">
        <v>1</v>
      </c>
      <c r="M64" t="s">
        <v>3</v>
      </c>
      <c r="N64">
        <v>0.16</v>
      </c>
      <c r="O64">
        <v>0.18179999999999999</v>
      </c>
      <c r="P64">
        <v>0.8</v>
      </c>
      <c r="Q64" s="14">
        <v>0.1045</v>
      </c>
      <c r="R64">
        <v>0</v>
      </c>
      <c r="S64">
        <v>33</v>
      </c>
      <c r="T64">
        <v>33</v>
      </c>
      <c r="U64" t="b">
        <f t="shared" si="0"/>
        <v>0</v>
      </c>
    </row>
    <row r="65" spans="1:21" hidden="1" x14ac:dyDescent="0.3">
      <c r="A65">
        <v>64</v>
      </c>
      <c r="B65" t="s">
        <v>65</v>
      </c>
      <c r="C65">
        <v>1</v>
      </c>
      <c r="D65">
        <v>0</v>
      </c>
      <c r="E65">
        <v>1</v>
      </c>
      <c r="F65" t="s">
        <v>2</v>
      </c>
      <c r="G65">
        <v>8</v>
      </c>
      <c r="H65">
        <v>0</v>
      </c>
      <c r="I65" t="s">
        <v>125</v>
      </c>
      <c r="J65">
        <v>0</v>
      </c>
      <c r="K65" t="s">
        <v>108</v>
      </c>
      <c r="L65">
        <v>2</v>
      </c>
      <c r="M65" t="s">
        <v>4</v>
      </c>
      <c r="N65">
        <v>0.14000000000000001</v>
      </c>
      <c r="O65">
        <v>0.21210000000000001</v>
      </c>
      <c r="P65">
        <v>0.86</v>
      </c>
      <c r="Q65" s="14">
        <v>0</v>
      </c>
      <c r="R65">
        <v>1</v>
      </c>
      <c r="S65">
        <v>11</v>
      </c>
      <c r="T65">
        <v>12</v>
      </c>
      <c r="U65" t="b">
        <f t="shared" si="0"/>
        <v>0</v>
      </c>
    </row>
    <row r="66" spans="1:21" hidden="1" x14ac:dyDescent="0.3">
      <c r="A66">
        <v>65</v>
      </c>
      <c r="B66" t="s">
        <v>67</v>
      </c>
      <c r="C66">
        <v>1</v>
      </c>
      <c r="D66">
        <v>0</v>
      </c>
      <c r="E66">
        <v>1</v>
      </c>
      <c r="F66" t="s">
        <v>2</v>
      </c>
      <c r="G66">
        <v>0</v>
      </c>
      <c r="H66">
        <v>0</v>
      </c>
      <c r="I66" t="s">
        <v>126</v>
      </c>
      <c r="J66">
        <v>1</v>
      </c>
      <c r="K66" t="s">
        <v>124</v>
      </c>
      <c r="L66">
        <v>2</v>
      </c>
      <c r="M66" t="s">
        <v>4</v>
      </c>
      <c r="N66">
        <v>0.24</v>
      </c>
      <c r="O66">
        <v>0.2273</v>
      </c>
      <c r="P66">
        <v>0.65</v>
      </c>
      <c r="Q66" s="14">
        <v>0.22389999999999999</v>
      </c>
      <c r="R66">
        <v>1</v>
      </c>
      <c r="S66">
        <v>6</v>
      </c>
      <c r="T66">
        <v>7</v>
      </c>
      <c r="U66" t="b">
        <f t="shared" si="0"/>
        <v>0</v>
      </c>
    </row>
    <row r="67" spans="1:21" hidden="1" x14ac:dyDescent="0.3">
      <c r="A67">
        <v>66</v>
      </c>
      <c r="B67" t="s">
        <v>67</v>
      </c>
      <c r="C67">
        <v>1</v>
      </c>
      <c r="D67">
        <v>0</v>
      </c>
      <c r="E67">
        <v>1</v>
      </c>
      <c r="F67" t="s">
        <v>2</v>
      </c>
      <c r="G67">
        <v>1</v>
      </c>
      <c r="H67">
        <v>0</v>
      </c>
      <c r="I67" t="s">
        <v>126</v>
      </c>
      <c r="J67">
        <v>1</v>
      </c>
      <c r="K67" t="s">
        <v>124</v>
      </c>
      <c r="L67">
        <v>1</v>
      </c>
      <c r="M67" t="s">
        <v>3</v>
      </c>
      <c r="N67">
        <v>0.22</v>
      </c>
      <c r="O67">
        <v>0.21210000000000001</v>
      </c>
      <c r="P67">
        <v>0.64</v>
      </c>
      <c r="Q67" s="14">
        <v>0.25369999999999998</v>
      </c>
      <c r="R67">
        <v>2</v>
      </c>
      <c r="S67">
        <v>5</v>
      </c>
      <c r="T67">
        <v>7</v>
      </c>
      <c r="U67" t="b">
        <f t="shared" ref="U67:U97" si="1">OR(T67&gt;$Y$2,T67&lt;$Z$2)</f>
        <v>0</v>
      </c>
    </row>
    <row r="68" spans="1:21" hidden="1" x14ac:dyDescent="0.3">
      <c r="A68">
        <v>67</v>
      </c>
      <c r="B68" t="s">
        <v>67</v>
      </c>
      <c r="C68">
        <v>1</v>
      </c>
      <c r="D68">
        <v>0</v>
      </c>
      <c r="E68">
        <v>1</v>
      </c>
      <c r="F68" t="s">
        <v>2</v>
      </c>
      <c r="G68">
        <v>20</v>
      </c>
      <c r="H68">
        <v>1</v>
      </c>
      <c r="I68" t="s">
        <v>126</v>
      </c>
      <c r="J68">
        <v>1</v>
      </c>
      <c r="K68" t="s">
        <v>124</v>
      </c>
      <c r="L68">
        <v>3</v>
      </c>
      <c r="M68" t="s">
        <v>6</v>
      </c>
      <c r="N68">
        <v>0.16</v>
      </c>
      <c r="O68">
        <v>0.16669999999999999</v>
      </c>
      <c r="P68">
        <v>0.59</v>
      </c>
      <c r="Q68" s="14">
        <v>0.16420000000000001</v>
      </c>
      <c r="R68">
        <v>0</v>
      </c>
      <c r="S68">
        <v>78</v>
      </c>
      <c r="T68">
        <v>78</v>
      </c>
      <c r="U68" t="b">
        <f t="shared" si="1"/>
        <v>0</v>
      </c>
    </row>
    <row r="69" spans="1:21" hidden="1" x14ac:dyDescent="0.3">
      <c r="A69">
        <v>68</v>
      </c>
      <c r="B69" t="s">
        <v>69</v>
      </c>
      <c r="C69">
        <v>1</v>
      </c>
      <c r="D69">
        <v>0</v>
      </c>
      <c r="E69">
        <v>2</v>
      </c>
      <c r="F69" t="s">
        <v>70</v>
      </c>
      <c r="G69">
        <v>0</v>
      </c>
      <c r="H69">
        <v>0</v>
      </c>
      <c r="I69" t="s">
        <v>126</v>
      </c>
      <c r="J69">
        <v>2</v>
      </c>
      <c r="K69" t="s">
        <v>124</v>
      </c>
      <c r="L69">
        <v>2</v>
      </c>
      <c r="M69" t="s">
        <v>4</v>
      </c>
      <c r="N69">
        <v>0.16</v>
      </c>
      <c r="O69">
        <v>0.18179999999999999</v>
      </c>
      <c r="P69">
        <v>0.64</v>
      </c>
      <c r="Q69" s="14">
        <v>0.1045</v>
      </c>
      <c r="R69">
        <v>2</v>
      </c>
      <c r="S69">
        <v>6</v>
      </c>
      <c r="T69">
        <v>8</v>
      </c>
      <c r="U69" t="b">
        <f t="shared" si="1"/>
        <v>0</v>
      </c>
    </row>
    <row r="70" spans="1:21" hidden="1" x14ac:dyDescent="0.3">
      <c r="A70">
        <v>69</v>
      </c>
      <c r="B70" t="s">
        <v>69</v>
      </c>
      <c r="C70">
        <v>1</v>
      </c>
      <c r="D70">
        <v>0</v>
      </c>
      <c r="E70">
        <v>2</v>
      </c>
      <c r="F70" t="s">
        <v>70</v>
      </c>
      <c r="G70">
        <v>5</v>
      </c>
      <c r="H70">
        <v>0</v>
      </c>
      <c r="I70" t="s">
        <v>126</v>
      </c>
      <c r="J70">
        <v>2</v>
      </c>
      <c r="K70" t="s">
        <v>124</v>
      </c>
      <c r="L70">
        <v>3</v>
      </c>
      <c r="M70" t="s">
        <v>6</v>
      </c>
      <c r="N70">
        <v>0.14000000000000001</v>
      </c>
      <c r="O70">
        <v>0.21210000000000001</v>
      </c>
      <c r="P70">
        <v>0.93</v>
      </c>
      <c r="Q70" s="14">
        <v>0</v>
      </c>
      <c r="R70">
        <v>0</v>
      </c>
      <c r="S70">
        <v>3</v>
      </c>
      <c r="T70">
        <v>3</v>
      </c>
      <c r="U70" t="b">
        <f t="shared" si="1"/>
        <v>0</v>
      </c>
    </row>
    <row r="71" spans="1:21" hidden="1" x14ac:dyDescent="0.3">
      <c r="A71">
        <v>70</v>
      </c>
      <c r="B71" t="s">
        <v>72</v>
      </c>
      <c r="C71">
        <v>1</v>
      </c>
      <c r="D71">
        <v>0</v>
      </c>
      <c r="E71">
        <v>2</v>
      </c>
      <c r="F71" t="s">
        <v>70</v>
      </c>
      <c r="G71">
        <v>0</v>
      </c>
      <c r="H71">
        <v>0</v>
      </c>
      <c r="I71" t="s">
        <v>126</v>
      </c>
      <c r="J71">
        <v>3</v>
      </c>
      <c r="K71" t="s">
        <v>124</v>
      </c>
      <c r="L71">
        <v>3</v>
      </c>
      <c r="M71" t="s">
        <v>6</v>
      </c>
      <c r="N71">
        <v>0.22</v>
      </c>
      <c r="O71">
        <v>0.2424</v>
      </c>
      <c r="P71">
        <v>0.93</v>
      </c>
      <c r="Q71" s="14">
        <v>0.1045</v>
      </c>
      <c r="R71">
        <v>0</v>
      </c>
      <c r="S71">
        <v>2</v>
      </c>
      <c r="T71">
        <v>2</v>
      </c>
      <c r="U71" t="b">
        <f t="shared" si="1"/>
        <v>0</v>
      </c>
    </row>
    <row r="72" spans="1:21" x14ac:dyDescent="0.3">
      <c r="A72">
        <v>71</v>
      </c>
      <c r="B72" t="s">
        <v>72</v>
      </c>
      <c r="C72">
        <v>1</v>
      </c>
      <c r="D72">
        <v>0</v>
      </c>
      <c r="E72">
        <v>2</v>
      </c>
      <c r="F72" t="s">
        <v>70</v>
      </c>
      <c r="G72">
        <v>9</v>
      </c>
      <c r="H72">
        <v>0</v>
      </c>
      <c r="I72" t="s">
        <v>126</v>
      </c>
      <c r="J72">
        <v>3</v>
      </c>
      <c r="K72" t="s">
        <v>124</v>
      </c>
      <c r="L72">
        <v>2</v>
      </c>
      <c r="M72" t="s">
        <v>4</v>
      </c>
      <c r="N72">
        <v>0.24</v>
      </c>
      <c r="O72">
        <v>0.2576</v>
      </c>
      <c r="P72">
        <v>0.93</v>
      </c>
      <c r="Q72" s="14">
        <v>8.9599999999999999E-2</v>
      </c>
      <c r="R72">
        <v>4</v>
      </c>
      <c r="S72">
        <v>119</v>
      </c>
      <c r="T72">
        <v>123</v>
      </c>
      <c r="U72" s="17" t="b">
        <f t="shared" si="1"/>
        <v>1</v>
      </c>
    </row>
    <row r="73" spans="1:21" hidden="1" x14ac:dyDescent="0.3">
      <c r="A73">
        <v>72</v>
      </c>
      <c r="B73" t="s">
        <v>72</v>
      </c>
      <c r="C73">
        <v>1</v>
      </c>
      <c r="D73">
        <v>0</v>
      </c>
      <c r="E73">
        <v>2</v>
      </c>
      <c r="F73" t="s">
        <v>70</v>
      </c>
      <c r="G73">
        <v>13</v>
      </c>
      <c r="H73">
        <v>1</v>
      </c>
      <c r="I73" t="s">
        <v>126</v>
      </c>
      <c r="J73">
        <v>3</v>
      </c>
      <c r="K73" t="s">
        <v>124</v>
      </c>
      <c r="L73">
        <v>1</v>
      </c>
      <c r="M73" t="s">
        <v>3</v>
      </c>
      <c r="N73">
        <v>0.34</v>
      </c>
      <c r="O73">
        <v>0.33329999999999999</v>
      </c>
      <c r="P73">
        <v>0.93</v>
      </c>
      <c r="Q73" s="14">
        <v>0.16420000000000001</v>
      </c>
      <c r="R73">
        <v>1</v>
      </c>
      <c r="S73">
        <v>74</v>
      </c>
      <c r="T73">
        <v>75</v>
      </c>
      <c r="U73" t="b">
        <f t="shared" si="1"/>
        <v>0</v>
      </c>
    </row>
    <row r="74" spans="1:21" hidden="1" x14ac:dyDescent="0.3">
      <c r="A74">
        <v>73</v>
      </c>
      <c r="B74" t="s">
        <v>74</v>
      </c>
      <c r="C74">
        <v>1</v>
      </c>
      <c r="D74">
        <v>0</v>
      </c>
      <c r="E74">
        <v>2</v>
      </c>
      <c r="F74" t="s">
        <v>70</v>
      </c>
      <c r="G74">
        <v>0</v>
      </c>
      <c r="H74">
        <v>0</v>
      </c>
      <c r="I74" t="s">
        <v>126</v>
      </c>
      <c r="J74">
        <v>4</v>
      </c>
      <c r="K74" t="s">
        <v>124</v>
      </c>
      <c r="L74">
        <v>1</v>
      </c>
      <c r="M74" t="s">
        <v>3</v>
      </c>
      <c r="N74">
        <v>0.2</v>
      </c>
      <c r="O74">
        <v>0.16669999999999999</v>
      </c>
      <c r="P74">
        <v>0.4</v>
      </c>
      <c r="Q74" s="14">
        <v>0.44779999999999998</v>
      </c>
      <c r="R74">
        <v>1</v>
      </c>
      <c r="S74">
        <v>11</v>
      </c>
      <c r="T74">
        <v>12</v>
      </c>
      <c r="U74" t="b">
        <f t="shared" si="1"/>
        <v>0</v>
      </c>
    </row>
    <row r="75" spans="1:21" hidden="1" x14ac:dyDescent="0.3">
      <c r="A75">
        <v>74</v>
      </c>
      <c r="B75" t="s">
        <v>76</v>
      </c>
      <c r="C75">
        <v>1</v>
      </c>
      <c r="D75">
        <v>0</v>
      </c>
      <c r="E75">
        <v>2</v>
      </c>
      <c r="F75" t="s">
        <v>70</v>
      </c>
      <c r="G75">
        <v>0</v>
      </c>
      <c r="H75">
        <v>0</v>
      </c>
      <c r="I75" t="s">
        <v>125</v>
      </c>
      <c r="J75">
        <v>5</v>
      </c>
      <c r="K75" t="s">
        <v>124</v>
      </c>
      <c r="L75">
        <v>2</v>
      </c>
      <c r="M75" t="s">
        <v>4</v>
      </c>
      <c r="N75">
        <v>0.2</v>
      </c>
      <c r="O75">
        <v>0.2576</v>
      </c>
      <c r="P75">
        <v>0.44</v>
      </c>
      <c r="Q75" s="14">
        <v>0</v>
      </c>
      <c r="R75">
        <v>3</v>
      </c>
      <c r="S75">
        <v>10</v>
      </c>
      <c r="T75">
        <v>13</v>
      </c>
      <c r="U75" t="b">
        <f t="shared" si="1"/>
        <v>0</v>
      </c>
    </row>
    <row r="76" spans="1:21" hidden="1" x14ac:dyDescent="0.3">
      <c r="A76">
        <v>75</v>
      </c>
      <c r="B76" t="s">
        <v>76</v>
      </c>
      <c r="C76">
        <v>1</v>
      </c>
      <c r="D76">
        <v>0</v>
      </c>
      <c r="E76">
        <v>2</v>
      </c>
      <c r="F76" t="s">
        <v>70</v>
      </c>
      <c r="G76">
        <v>7</v>
      </c>
      <c r="H76">
        <v>0</v>
      </c>
      <c r="I76" t="s">
        <v>125</v>
      </c>
      <c r="J76">
        <v>5</v>
      </c>
      <c r="K76" t="s">
        <v>124</v>
      </c>
      <c r="L76">
        <v>1</v>
      </c>
      <c r="M76" t="s">
        <v>3</v>
      </c>
      <c r="N76">
        <v>0.14000000000000001</v>
      </c>
      <c r="O76">
        <v>0.21210000000000001</v>
      </c>
      <c r="P76">
        <v>0.59</v>
      </c>
      <c r="Q76" s="14">
        <v>0</v>
      </c>
      <c r="R76">
        <v>0</v>
      </c>
      <c r="S76">
        <v>87</v>
      </c>
      <c r="T76">
        <v>87</v>
      </c>
      <c r="U76" t="b">
        <f t="shared" si="1"/>
        <v>0</v>
      </c>
    </row>
    <row r="77" spans="1:21" hidden="1" x14ac:dyDescent="0.3">
      <c r="A77">
        <v>76</v>
      </c>
      <c r="B77" t="s">
        <v>78</v>
      </c>
      <c r="C77">
        <v>1</v>
      </c>
      <c r="D77">
        <v>0</v>
      </c>
      <c r="E77">
        <v>2</v>
      </c>
      <c r="F77" t="s">
        <v>70</v>
      </c>
      <c r="G77">
        <v>0</v>
      </c>
      <c r="H77">
        <v>0</v>
      </c>
      <c r="I77" t="s">
        <v>125</v>
      </c>
      <c r="J77">
        <v>6</v>
      </c>
      <c r="K77" t="s">
        <v>108</v>
      </c>
      <c r="L77">
        <v>2</v>
      </c>
      <c r="M77" t="s">
        <v>4</v>
      </c>
      <c r="N77">
        <v>0.24</v>
      </c>
      <c r="O77">
        <v>0.2424</v>
      </c>
      <c r="P77">
        <v>0.7</v>
      </c>
      <c r="Q77" s="14">
        <v>0.16420000000000001</v>
      </c>
      <c r="R77">
        <v>3</v>
      </c>
      <c r="S77">
        <v>36</v>
      </c>
      <c r="T77">
        <v>39</v>
      </c>
      <c r="U77" t="b">
        <f t="shared" si="1"/>
        <v>0</v>
      </c>
    </row>
    <row r="78" spans="1:21" hidden="1" x14ac:dyDescent="0.3">
      <c r="A78">
        <v>77</v>
      </c>
      <c r="B78" t="s">
        <v>78</v>
      </c>
      <c r="C78">
        <v>1</v>
      </c>
      <c r="D78">
        <v>0</v>
      </c>
      <c r="E78">
        <v>2</v>
      </c>
      <c r="F78" t="s">
        <v>70</v>
      </c>
      <c r="G78">
        <v>4</v>
      </c>
      <c r="H78">
        <v>0</v>
      </c>
      <c r="I78" t="s">
        <v>125</v>
      </c>
      <c r="J78">
        <v>6</v>
      </c>
      <c r="K78" t="s">
        <v>108</v>
      </c>
      <c r="L78">
        <v>3</v>
      </c>
      <c r="M78" t="s">
        <v>6</v>
      </c>
      <c r="N78">
        <v>0.22</v>
      </c>
      <c r="O78">
        <v>0.2273</v>
      </c>
      <c r="P78">
        <v>0.93</v>
      </c>
      <c r="Q78" s="14">
        <v>0.1343</v>
      </c>
      <c r="R78">
        <v>0</v>
      </c>
      <c r="S78">
        <v>8</v>
      </c>
      <c r="T78">
        <v>8</v>
      </c>
      <c r="U78" t="b">
        <f t="shared" si="1"/>
        <v>0</v>
      </c>
    </row>
    <row r="79" spans="1:21" hidden="1" x14ac:dyDescent="0.3">
      <c r="A79">
        <v>78</v>
      </c>
      <c r="B79" t="s">
        <v>78</v>
      </c>
      <c r="C79">
        <v>1</v>
      </c>
      <c r="D79">
        <v>0</v>
      </c>
      <c r="E79">
        <v>2</v>
      </c>
      <c r="F79" t="s">
        <v>70</v>
      </c>
      <c r="G79">
        <v>20</v>
      </c>
      <c r="H79">
        <v>1</v>
      </c>
      <c r="I79" t="s">
        <v>125</v>
      </c>
      <c r="J79">
        <v>6</v>
      </c>
      <c r="K79" t="s">
        <v>108</v>
      </c>
      <c r="L79">
        <v>1</v>
      </c>
      <c r="M79" t="s">
        <v>3</v>
      </c>
      <c r="N79">
        <v>0.3</v>
      </c>
      <c r="O79">
        <v>0.28789999999999999</v>
      </c>
      <c r="P79">
        <v>0.87</v>
      </c>
      <c r="Q79" s="14">
        <v>0.25369999999999998</v>
      </c>
      <c r="R79">
        <v>5</v>
      </c>
      <c r="S79">
        <v>64</v>
      </c>
      <c r="T79">
        <v>69</v>
      </c>
      <c r="U79" t="b">
        <f t="shared" si="1"/>
        <v>0</v>
      </c>
    </row>
    <row r="80" spans="1:21" hidden="1" x14ac:dyDescent="0.3">
      <c r="A80">
        <v>79</v>
      </c>
      <c r="B80" t="s">
        <v>80</v>
      </c>
      <c r="C80">
        <v>1</v>
      </c>
      <c r="D80">
        <v>0</v>
      </c>
      <c r="E80">
        <v>2</v>
      </c>
      <c r="F80" t="s">
        <v>70</v>
      </c>
      <c r="G80">
        <v>0</v>
      </c>
      <c r="H80">
        <v>0</v>
      </c>
      <c r="I80" t="s">
        <v>125</v>
      </c>
      <c r="J80">
        <v>0</v>
      </c>
      <c r="K80" t="s">
        <v>108</v>
      </c>
      <c r="L80">
        <v>1</v>
      </c>
      <c r="M80" t="s">
        <v>3</v>
      </c>
      <c r="N80">
        <v>0.26</v>
      </c>
      <c r="O80">
        <v>0.2576</v>
      </c>
      <c r="P80">
        <v>0.7</v>
      </c>
      <c r="Q80" s="14">
        <v>0.19400000000000001</v>
      </c>
      <c r="R80">
        <v>2</v>
      </c>
      <c r="S80">
        <v>37</v>
      </c>
      <c r="T80">
        <v>39</v>
      </c>
      <c r="U80" t="b">
        <f t="shared" si="1"/>
        <v>0</v>
      </c>
    </row>
    <row r="81" spans="1:21" hidden="1" x14ac:dyDescent="0.3">
      <c r="A81">
        <v>80</v>
      </c>
      <c r="B81" t="s">
        <v>82</v>
      </c>
      <c r="C81">
        <v>1</v>
      </c>
      <c r="D81">
        <v>0</v>
      </c>
      <c r="E81">
        <v>2</v>
      </c>
      <c r="F81" t="s">
        <v>70</v>
      </c>
      <c r="G81">
        <v>0</v>
      </c>
      <c r="H81">
        <v>0</v>
      </c>
      <c r="I81" t="s">
        <v>125</v>
      </c>
      <c r="J81">
        <v>1</v>
      </c>
      <c r="K81" t="s">
        <v>124</v>
      </c>
      <c r="L81">
        <v>1</v>
      </c>
      <c r="M81" t="s">
        <v>3</v>
      </c>
      <c r="N81">
        <v>0.24</v>
      </c>
      <c r="O81">
        <v>0.28789999999999999</v>
      </c>
      <c r="P81">
        <v>0.65</v>
      </c>
      <c r="Q81" s="14">
        <v>0</v>
      </c>
      <c r="R81">
        <v>1</v>
      </c>
      <c r="S81">
        <v>14</v>
      </c>
      <c r="T81">
        <v>15</v>
      </c>
      <c r="U81" t="b">
        <f t="shared" si="1"/>
        <v>0</v>
      </c>
    </row>
    <row r="82" spans="1:21" x14ac:dyDescent="0.3">
      <c r="A82">
        <v>81</v>
      </c>
      <c r="B82" t="s">
        <v>82</v>
      </c>
      <c r="C82">
        <v>1</v>
      </c>
      <c r="D82">
        <v>0</v>
      </c>
      <c r="E82">
        <v>2</v>
      </c>
      <c r="F82" t="s">
        <v>70</v>
      </c>
      <c r="G82">
        <v>8</v>
      </c>
      <c r="H82">
        <v>0</v>
      </c>
      <c r="I82" t="s">
        <v>126</v>
      </c>
      <c r="J82">
        <v>1</v>
      </c>
      <c r="K82" t="s">
        <v>124</v>
      </c>
      <c r="L82">
        <v>2</v>
      </c>
      <c r="M82" t="s">
        <v>4</v>
      </c>
      <c r="N82">
        <v>0.16</v>
      </c>
      <c r="O82">
        <v>0.2273</v>
      </c>
      <c r="P82">
        <v>1</v>
      </c>
      <c r="Q82" s="14">
        <v>0</v>
      </c>
      <c r="R82">
        <v>7</v>
      </c>
      <c r="S82">
        <v>223</v>
      </c>
      <c r="T82">
        <v>230</v>
      </c>
      <c r="U82" s="17" t="b">
        <f t="shared" si="1"/>
        <v>1</v>
      </c>
    </row>
    <row r="83" spans="1:21" hidden="1" x14ac:dyDescent="0.3">
      <c r="A83">
        <v>82</v>
      </c>
      <c r="B83" t="s">
        <v>84</v>
      </c>
      <c r="C83">
        <v>1</v>
      </c>
      <c r="D83">
        <v>0</v>
      </c>
      <c r="E83">
        <v>2</v>
      </c>
      <c r="F83" t="s">
        <v>70</v>
      </c>
      <c r="G83">
        <v>0</v>
      </c>
      <c r="H83">
        <v>0</v>
      </c>
      <c r="I83" t="s">
        <v>126</v>
      </c>
      <c r="J83">
        <v>2</v>
      </c>
      <c r="K83" t="s">
        <v>124</v>
      </c>
      <c r="L83">
        <v>2</v>
      </c>
      <c r="M83" t="s">
        <v>4</v>
      </c>
      <c r="N83">
        <v>0.28000000000000003</v>
      </c>
      <c r="O83">
        <v>0.31819999999999998</v>
      </c>
      <c r="P83">
        <v>0.87</v>
      </c>
      <c r="Q83" s="14">
        <v>0</v>
      </c>
      <c r="R83">
        <v>4</v>
      </c>
      <c r="S83">
        <v>6</v>
      </c>
      <c r="T83">
        <v>10</v>
      </c>
      <c r="U83" t="b">
        <f t="shared" si="1"/>
        <v>0</v>
      </c>
    </row>
    <row r="84" spans="1:21" hidden="1" x14ac:dyDescent="0.3">
      <c r="A84">
        <v>83</v>
      </c>
      <c r="B84" t="s">
        <v>84</v>
      </c>
      <c r="C84">
        <v>1</v>
      </c>
      <c r="D84">
        <v>0</v>
      </c>
      <c r="E84">
        <v>2</v>
      </c>
      <c r="F84" t="s">
        <v>70</v>
      </c>
      <c r="G84">
        <v>3</v>
      </c>
      <c r="H84">
        <v>0</v>
      </c>
      <c r="I84" t="s">
        <v>126</v>
      </c>
      <c r="J84">
        <v>2</v>
      </c>
      <c r="K84" t="s">
        <v>124</v>
      </c>
      <c r="L84">
        <v>3</v>
      </c>
      <c r="M84" t="s">
        <v>6</v>
      </c>
      <c r="N84">
        <v>0.28000000000000003</v>
      </c>
      <c r="O84">
        <v>0.2727</v>
      </c>
      <c r="P84">
        <v>0.93</v>
      </c>
      <c r="Q84" s="14">
        <v>0.16420000000000001</v>
      </c>
      <c r="R84">
        <v>0</v>
      </c>
      <c r="S84">
        <v>1</v>
      </c>
      <c r="T84">
        <v>1</v>
      </c>
      <c r="U84" t="b">
        <f t="shared" si="1"/>
        <v>0</v>
      </c>
    </row>
    <row r="85" spans="1:21" hidden="1" x14ac:dyDescent="0.3">
      <c r="A85">
        <v>84</v>
      </c>
      <c r="B85" t="s">
        <v>84</v>
      </c>
      <c r="C85">
        <v>1</v>
      </c>
      <c r="D85">
        <v>0</v>
      </c>
      <c r="E85">
        <v>2</v>
      </c>
      <c r="F85" t="s">
        <v>70</v>
      </c>
      <c r="G85">
        <v>4</v>
      </c>
      <c r="H85">
        <v>0</v>
      </c>
      <c r="I85" t="s">
        <v>126</v>
      </c>
      <c r="J85">
        <v>2</v>
      </c>
      <c r="K85" t="s">
        <v>124</v>
      </c>
      <c r="L85">
        <v>1</v>
      </c>
      <c r="M85" t="s">
        <v>3</v>
      </c>
      <c r="N85">
        <v>0.26</v>
      </c>
      <c r="O85">
        <v>0.2576</v>
      </c>
      <c r="P85">
        <v>0.93</v>
      </c>
      <c r="Q85" s="14">
        <v>0.16420000000000001</v>
      </c>
      <c r="R85">
        <v>0</v>
      </c>
      <c r="S85">
        <v>3</v>
      </c>
      <c r="T85">
        <v>3</v>
      </c>
      <c r="U85" t="b">
        <f t="shared" si="1"/>
        <v>0</v>
      </c>
    </row>
    <row r="86" spans="1:21" hidden="1" x14ac:dyDescent="0.3">
      <c r="A86">
        <v>85</v>
      </c>
      <c r="B86" t="s">
        <v>86</v>
      </c>
      <c r="C86">
        <v>1</v>
      </c>
      <c r="D86">
        <v>0</v>
      </c>
      <c r="E86">
        <v>2</v>
      </c>
      <c r="F86" t="s">
        <v>70</v>
      </c>
      <c r="G86">
        <v>0</v>
      </c>
      <c r="H86">
        <v>0</v>
      </c>
      <c r="I86" t="s">
        <v>126</v>
      </c>
      <c r="J86">
        <v>3</v>
      </c>
      <c r="K86" t="s">
        <v>124</v>
      </c>
      <c r="L86">
        <v>1</v>
      </c>
      <c r="M86" t="s">
        <v>3</v>
      </c>
      <c r="N86">
        <v>0.1</v>
      </c>
      <c r="O86">
        <v>7.5800000000000006E-2</v>
      </c>
      <c r="P86">
        <v>0.36</v>
      </c>
      <c r="Q86" s="14">
        <v>0.35820000000000002</v>
      </c>
      <c r="R86">
        <v>0</v>
      </c>
      <c r="S86">
        <v>17</v>
      </c>
      <c r="T86">
        <v>17</v>
      </c>
      <c r="U86" t="b">
        <f t="shared" si="1"/>
        <v>0</v>
      </c>
    </row>
    <row r="87" spans="1:21" hidden="1" x14ac:dyDescent="0.3">
      <c r="A87">
        <v>86</v>
      </c>
      <c r="B87" t="s">
        <v>86</v>
      </c>
      <c r="C87">
        <v>1</v>
      </c>
      <c r="D87">
        <v>0</v>
      </c>
      <c r="E87">
        <v>2</v>
      </c>
      <c r="F87" t="s">
        <v>70</v>
      </c>
      <c r="G87">
        <v>11</v>
      </c>
      <c r="H87">
        <v>1</v>
      </c>
      <c r="I87" t="s">
        <v>126</v>
      </c>
      <c r="J87">
        <v>3</v>
      </c>
      <c r="K87" t="s">
        <v>124</v>
      </c>
      <c r="L87">
        <v>2</v>
      </c>
      <c r="M87" t="s">
        <v>4</v>
      </c>
      <c r="N87">
        <v>0.14000000000000001</v>
      </c>
      <c r="O87">
        <v>0.1515</v>
      </c>
      <c r="P87">
        <v>0.43</v>
      </c>
      <c r="Q87" s="14">
        <v>0.16420000000000001</v>
      </c>
      <c r="R87">
        <v>1</v>
      </c>
      <c r="S87">
        <v>40</v>
      </c>
      <c r="T87">
        <v>41</v>
      </c>
      <c r="U87" t="b">
        <f t="shared" si="1"/>
        <v>0</v>
      </c>
    </row>
    <row r="88" spans="1:21" hidden="1" x14ac:dyDescent="0.3">
      <c r="A88">
        <v>87</v>
      </c>
      <c r="B88" t="s">
        <v>86</v>
      </c>
      <c r="C88">
        <v>1</v>
      </c>
      <c r="D88">
        <v>0</v>
      </c>
      <c r="E88">
        <v>2</v>
      </c>
      <c r="F88" t="s">
        <v>70</v>
      </c>
      <c r="G88">
        <v>19</v>
      </c>
      <c r="H88">
        <v>1</v>
      </c>
      <c r="I88" t="s">
        <v>126</v>
      </c>
      <c r="J88">
        <v>3</v>
      </c>
      <c r="K88" t="s">
        <v>124</v>
      </c>
      <c r="L88">
        <v>3</v>
      </c>
      <c r="M88" t="s">
        <v>6</v>
      </c>
      <c r="N88">
        <v>0.14000000000000001</v>
      </c>
      <c r="O88">
        <v>0.1212</v>
      </c>
      <c r="P88">
        <v>0.86</v>
      </c>
      <c r="Q88" s="14">
        <v>0.25369999999999998</v>
      </c>
      <c r="R88">
        <v>1</v>
      </c>
      <c r="S88">
        <v>87</v>
      </c>
      <c r="T88">
        <v>88</v>
      </c>
      <c r="U88" s="17" t="b">
        <f t="shared" si="1"/>
        <v>1</v>
      </c>
    </row>
    <row r="89" spans="1:21" hidden="1" x14ac:dyDescent="0.3">
      <c r="A89">
        <v>88</v>
      </c>
      <c r="B89" t="s">
        <v>88</v>
      </c>
      <c r="C89">
        <v>1</v>
      </c>
      <c r="D89">
        <v>0</v>
      </c>
      <c r="E89">
        <v>2</v>
      </c>
      <c r="F89" t="s">
        <v>70</v>
      </c>
      <c r="G89">
        <v>0</v>
      </c>
      <c r="H89">
        <v>0</v>
      </c>
      <c r="I89" t="s">
        <v>126</v>
      </c>
      <c r="J89">
        <v>4</v>
      </c>
      <c r="K89" t="s">
        <v>124</v>
      </c>
      <c r="L89">
        <v>3</v>
      </c>
      <c r="M89" t="s">
        <v>6</v>
      </c>
      <c r="N89">
        <v>0.14000000000000001</v>
      </c>
      <c r="O89">
        <v>0.13639999999999999</v>
      </c>
      <c r="P89">
        <v>0.86</v>
      </c>
      <c r="Q89" s="14">
        <v>0.19400000000000001</v>
      </c>
      <c r="R89">
        <v>0</v>
      </c>
      <c r="S89">
        <v>16</v>
      </c>
      <c r="T89">
        <v>16</v>
      </c>
      <c r="U89" t="b">
        <f t="shared" si="1"/>
        <v>0</v>
      </c>
    </row>
    <row r="90" spans="1:21" hidden="1" x14ac:dyDescent="0.3">
      <c r="A90">
        <v>89</v>
      </c>
      <c r="B90" t="s">
        <v>88</v>
      </c>
      <c r="C90">
        <v>1</v>
      </c>
      <c r="D90">
        <v>0</v>
      </c>
      <c r="E90">
        <v>2</v>
      </c>
      <c r="F90" t="s">
        <v>70</v>
      </c>
      <c r="G90">
        <v>4</v>
      </c>
      <c r="H90">
        <v>0</v>
      </c>
      <c r="I90" t="s">
        <v>126</v>
      </c>
      <c r="J90">
        <v>4</v>
      </c>
      <c r="K90" t="s">
        <v>124</v>
      </c>
      <c r="L90">
        <v>2</v>
      </c>
      <c r="M90" t="s">
        <v>4</v>
      </c>
      <c r="N90">
        <v>0.14000000000000001</v>
      </c>
      <c r="O90">
        <v>0.13639999999999999</v>
      </c>
      <c r="P90">
        <v>0.59</v>
      </c>
      <c r="Q90" s="14">
        <v>0.22389999999999999</v>
      </c>
      <c r="R90">
        <v>0</v>
      </c>
      <c r="S90">
        <v>1</v>
      </c>
      <c r="T90">
        <v>1</v>
      </c>
      <c r="U90" t="b">
        <f t="shared" si="1"/>
        <v>0</v>
      </c>
    </row>
    <row r="91" spans="1:21" hidden="1" x14ac:dyDescent="0.3">
      <c r="A91">
        <v>90</v>
      </c>
      <c r="B91" t="s">
        <v>88</v>
      </c>
      <c r="C91">
        <v>1</v>
      </c>
      <c r="D91">
        <v>0</v>
      </c>
      <c r="E91">
        <v>2</v>
      </c>
      <c r="F91" t="s">
        <v>70</v>
      </c>
      <c r="G91">
        <v>7</v>
      </c>
      <c r="H91">
        <v>0</v>
      </c>
      <c r="I91" t="s">
        <v>126</v>
      </c>
      <c r="J91">
        <v>4</v>
      </c>
      <c r="K91" t="s">
        <v>124</v>
      </c>
      <c r="L91">
        <v>1</v>
      </c>
      <c r="M91" t="s">
        <v>3</v>
      </c>
      <c r="N91">
        <v>0.1</v>
      </c>
      <c r="O91">
        <v>7.5800000000000006E-2</v>
      </c>
      <c r="P91">
        <v>0.5</v>
      </c>
      <c r="Q91" s="14">
        <v>0.41789999999999999</v>
      </c>
      <c r="R91">
        <v>0</v>
      </c>
      <c r="S91">
        <v>99</v>
      </c>
      <c r="T91">
        <v>99</v>
      </c>
      <c r="U91" s="17" t="b">
        <f t="shared" si="1"/>
        <v>1</v>
      </c>
    </row>
    <row r="92" spans="1:21" hidden="1" x14ac:dyDescent="0.3">
      <c r="A92">
        <v>91</v>
      </c>
      <c r="B92" t="s">
        <v>90</v>
      </c>
      <c r="C92">
        <v>1</v>
      </c>
      <c r="D92">
        <v>0</v>
      </c>
      <c r="E92">
        <v>2</v>
      </c>
      <c r="F92" t="s">
        <v>70</v>
      </c>
      <c r="G92">
        <v>0</v>
      </c>
      <c r="H92">
        <v>0</v>
      </c>
      <c r="I92" t="s">
        <v>125</v>
      </c>
      <c r="J92">
        <v>5</v>
      </c>
      <c r="K92" t="s">
        <v>124</v>
      </c>
      <c r="L92">
        <v>1</v>
      </c>
      <c r="M92" t="s">
        <v>3</v>
      </c>
      <c r="N92">
        <v>0.1</v>
      </c>
      <c r="O92">
        <v>0.13639999999999999</v>
      </c>
      <c r="P92">
        <v>0.49</v>
      </c>
      <c r="Q92" s="14">
        <v>0.1045</v>
      </c>
      <c r="R92">
        <v>2</v>
      </c>
      <c r="S92">
        <v>12</v>
      </c>
      <c r="T92">
        <v>14</v>
      </c>
      <c r="U92" t="b">
        <f t="shared" si="1"/>
        <v>0</v>
      </c>
    </row>
    <row r="93" spans="1:21" hidden="1" x14ac:dyDescent="0.3">
      <c r="A93">
        <v>92</v>
      </c>
      <c r="B93" t="s">
        <v>92</v>
      </c>
      <c r="C93">
        <v>1</v>
      </c>
      <c r="D93">
        <v>0</v>
      </c>
      <c r="E93">
        <v>2</v>
      </c>
      <c r="F93" t="s">
        <v>70</v>
      </c>
      <c r="G93">
        <v>0</v>
      </c>
      <c r="H93">
        <v>0</v>
      </c>
      <c r="I93" t="s">
        <v>125</v>
      </c>
      <c r="J93">
        <v>6</v>
      </c>
      <c r="K93" t="s">
        <v>108</v>
      </c>
      <c r="L93">
        <v>1</v>
      </c>
      <c r="M93" t="s">
        <v>3</v>
      </c>
      <c r="N93">
        <v>0.16</v>
      </c>
      <c r="O93">
        <v>0.19700000000000001</v>
      </c>
      <c r="P93">
        <v>0.69</v>
      </c>
      <c r="Q93" s="14">
        <v>8.9599999999999999E-2</v>
      </c>
      <c r="R93">
        <v>3</v>
      </c>
      <c r="S93">
        <v>27</v>
      </c>
      <c r="T93">
        <v>30</v>
      </c>
      <c r="U93" t="b">
        <f t="shared" si="1"/>
        <v>0</v>
      </c>
    </row>
    <row r="94" spans="1:21" hidden="1" x14ac:dyDescent="0.3">
      <c r="A94">
        <v>93</v>
      </c>
      <c r="B94" t="s">
        <v>94</v>
      </c>
      <c r="C94">
        <v>1</v>
      </c>
      <c r="D94">
        <v>0</v>
      </c>
      <c r="E94">
        <v>2</v>
      </c>
      <c r="F94" t="s">
        <v>70</v>
      </c>
      <c r="G94">
        <v>0</v>
      </c>
      <c r="H94">
        <v>0</v>
      </c>
      <c r="I94" t="s">
        <v>125</v>
      </c>
      <c r="J94">
        <v>0</v>
      </c>
      <c r="K94" t="s">
        <v>108</v>
      </c>
      <c r="L94">
        <v>1</v>
      </c>
      <c r="M94" t="s">
        <v>3</v>
      </c>
      <c r="N94">
        <v>0.2</v>
      </c>
      <c r="O94">
        <v>0.2273</v>
      </c>
      <c r="P94">
        <v>0.64</v>
      </c>
      <c r="Q94" s="14">
        <v>0.1045</v>
      </c>
      <c r="R94">
        <v>5</v>
      </c>
      <c r="S94">
        <v>34</v>
      </c>
      <c r="T94">
        <v>39</v>
      </c>
      <c r="U94" t="b">
        <f t="shared" si="1"/>
        <v>0</v>
      </c>
    </row>
    <row r="95" spans="1:21" hidden="1" x14ac:dyDescent="0.3">
      <c r="A95">
        <v>94</v>
      </c>
      <c r="B95" t="s">
        <v>94</v>
      </c>
      <c r="C95">
        <v>1</v>
      </c>
      <c r="D95">
        <v>0</v>
      </c>
      <c r="E95">
        <v>2</v>
      </c>
      <c r="F95" t="s">
        <v>70</v>
      </c>
      <c r="G95">
        <v>2</v>
      </c>
      <c r="H95">
        <v>0</v>
      </c>
      <c r="I95" t="s">
        <v>125</v>
      </c>
      <c r="J95">
        <v>0</v>
      </c>
      <c r="K95" t="s">
        <v>108</v>
      </c>
      <c r="L95">
        <v>2</v>
      </c>
      <c r="M95" t="s">
        <v>4</v>
      </c>
      <c r="N95">
        <v>0.2</v>
      </c>
      <c r="O95">
        <v>0.2273</v>
      </c>
      <c r="P95">
        <v>0.75</v>
      </c>
      <c r="Q95" s="14">
        <v>8.9599999999999999E-2</v>
      </c>
      <c r="R95">
        <v>1</v>
      </c>
      <c r="S95">
        <v>19</v>
      </c>
      <c r="T95">
        <v>20</v>
      </c>
      <c r="U95" t="b">
        <f t="shared" si="1"/>
        <v>0</v>
      </c>
    </row>
    <row r="96" spans="1:21" hidden="1" x14ac:dyDescent="0.3">
      <c r="A96">
        <v>95</v>
      </c>
      <c r="B96" t="s">
        <v>96</v>
      </c>
      <c r="C96">
        <v>1</v>
      </c>
      <c r="D96">
        <v>0</v>
      </c>
      <c r="E96">
        <v>2</v>
      </c>
      <c r="F96" t="s">
        <v>70</v>
      </c>
      <c r="G96">
        <v>0</v>
      </c>
      <c r="H96">
        <v>0</v>
      </c>
      <c r="I96" t="s">
        <v>125</v>
      </c>
      <c r="J96">
        <v>1</v>
      </c>
      <c r="K96" t="s">
        <v>124</v>
      </c>
      <c r="L96">
        <v>1</v>
      </c>
      <c r="M96" t="s">
        <v>3</v>
      </c>
      <c r="N96">
        <v>0.38</v>
      </c>
      <c r="O96">
        <v>0.39389999999999997</v>
      </c>
      <c r="P96">
        <v>0.37</v>
      </c>
      <c r="Q96" s="14">
        <v>0.35820000000000002</v>
      </c>
      <c r="R96">
        <v>3</v>
      </c>
      <c r="S96">
        <v>8</v>
      </c>
      <c r="T96">
        <v>11</v>
      </c>
      <c r="U96" t="b">
        <f t="shared" si="1"/>
        <v>0</v>
      </c>
    </row>
    <row r="97" spans="1:21" hidden="1" x14ac:dyDescent="0.3">
      <c r="A97">
        <v>96</v>
      </c>
      <c r="B97" t="s">
        <v>61</v>
      </c>
      <c r="C97">
        <v>1</v>
      </c>
      <c r="D97">
        <v>0</v>
      </c>
      <c r="E97">
        <v>1</v>
      </c>
      <c r="F97" t="s">
        <v>2</v>
      </c>
      <c r="G97">
        <v>16</v>
      </c>
      <c r="H97">
        <v>1</v>
      </c>
      <c r="I97" t="s">
        <v>125</v>
      </c>
      <c r="J97">
        <v>5</v>
      </c>
      <c r="K97" t="s">
        <v>124</v>
      </c>
      <c r="L97">
        <v>1</v>
      </c>
      <c r="M97" t="s">
        <v>3</v>
      </c>
      <c r="N97">
        <v>0.22</v>
      </c>
      <c r="O97">
        <v>0.2727</v>
      </c>
      <c r="P97">
        <v>0.8</v>
      </c>
      <c r="Q97" s="14">
        <v>0</v>
      </c>
      <c r="R97">
        <v>10</v>
      </c>
      <c r="S97">
        <v>70</v>
      </c>
      <c r="T97">
        <v>80</v>
      </c>
      <c r="U97" t="b">
        <f t="shared" si="1"/>
        <v>0</v>
      </c>
    </row>
    <row r="98" spans="1:21" x14ac:dyDescent="0.3">
      <c r="B98" s="10"/>
    </row>
    <row r="1002" spans="1:20" x14ac:dyDescent="0.3">
      <c r="A1002" s="1"/>
      <c r="C1002" s="2"/>
      <c r="D1002" s="2"/>
      <c r="E1002" s="2"/>
      <c r="F1002" s="2"/>
      <c r="G1002" s="2"/>
      <c r="H1002" s="2"/>
      <c r="I1002" s="2"/>
      <c r="J1002" s="2"/>
      <c r="K1002" s="2"/>
      <c r="L1002" s="2"/>
      <c r="M1002" s="2"/>
      <c r="N1002" s="2"/>
      <c r="O1002" s="2"/>
      <c r="P1002" s="2"/>
      <c r="Q1002" s="2"/>
      <c r="R1002" s="2"/>
      <c r="S1002" s="2"/>
      <c r="T1002" s="3"/>
    </row>
    <row r="1003" spans="1:20" x14ac:dyDescent="0.3">
      <c r="A1003" s="4"/>
      <c r="C1003" s="5"/>
      <c r="D1003" s="5"/>
      <c r="E1003" s="5"/>
      <c r="F1003" s="5"/>
      <c r="G1003" s="5"/>
      <c r="H1003" s="5"/>
      <c r="I1003" s="5"/>
      <c r="J1003" s="5"/>
      <c r="K1003" s="5"/>
      <c r="L1003" s="5"/>
      <c r="M1003" s="5"/>
      <c r="N1003" s="5"/>
      <c r="O1003" s="5"/>
      <c r="P1003" s="5"/>
      <c r="Q1003" s="5"/>
      <c r="R1003" s="5"/>
      <c r="S1003" s="5"/>
      <c r="T1003" s="6"/>
    </row>
    <row r="1004" spans="1:20" x14ac:dyDescent="0.3">
      <c r="A1004" s="1"/>
      <c r="C1004" s="2"/>
      <c r="D1004" s="2"/>
      <c r="E1004" s="2"/>
      <c r="F1004" s="2"/>
      <c r="G1004" s="2"/>
      <c r="H1004" s="2"/>
      <c r="I1004" s="2"/>
      <c r="J1004" s="2"/>
      <c r="K1004" s="2"/>
      <c r="L1004" s="2"/>
      <c r="M1004" s="2"/>
      <c r="N1004" s="2"/>
      <c r="O1004" s="2"/>
      <c r="P1004" s="2"/>
      <c r="Q1004" s="2"/>
      <c r="R1004" s="2"/>
      <c r="S1004" s="2"/>
      <c r="T1004" s="3"/>
    </row>
    <row r="1005" spans="1:20" x14ac:dyDescent="0.3">
      <c r="A1005" s="4"/>
      <c r="C1005" s="5"/>
      <c r="D1005" s="5"/>
      <c r="E1005" s="5"/>
      <c r="F1005" s="5"/>
      <c r="G1005" s="5"/>
      <c r="H1005" s="5"/>
      <c r="I1005" s="5"/>
      <c r="J1005" s="5"/>
      <c r="K1005" s="5"/>
      <c r="L1005" s="5"/>
      <c r="M1005" s="5"/>
      <c r="N1005" s="5"/>
      <c r="O1005" s="5"/>
      <c r="P1005" s="5"/>
      <c r="Q1005" s="5"/>
      <c r="R1005" s="5"/>
      <c r="S1005" s="5"/>
      <c r="T1005" s="6"/>
    </row>
  </sheetData>
  <autoFilter ref="A1:Z97" xr:uid="{00000000-0001-0000-0000-000000000000}">
    <filterColumn colId="19">
      <filters>
        <filter val="101"/>
        <filter val="102"/>
        <filter val="123"/>
        <filter val="143"/>
        <filter val="188"/>
        <filter val="230"/>
      </filters>
    </filterColumn>
    <filterColumn colId="20">
      <filters>
        <filter val="TRUE"/>
      </filters>
    </filterColumn>
  </autoFilter>
  <conditionalFormatting sqref="N2:N97">
    <cfRule type="cellIs" dxfId="6" priority="3" operator="between">
      <formula>0.12</formula>
      <formula>0.2</formula>
    </cfRule>
  </conditionalFormatting>
  <conditionalFormatting sqref="P2:P97">
    <cfRule type="top10" dxfId="5" priority="2" rank="10"/>
  </conditionalFormatting>
  <conditionalFormatting sqref="Q2:Q97">
    <cfRule type="top10" dxfId="4" priority="1" rank="10"/>
  </conditionalFormatting>
  <conditionalFormatting sqref="R2:R97">
    <cfRule type="cellIs" dxfId="3" priority="5" operator="equal">
      <formula>0</formula>
    </cfRule>
    <cfRule type="top10" dxfId="2" priority="8" rank="10"/>
  </conditionalFormatting>
  <conditionalFormatting sqref="S2:S97">
    <cfRule type="top10" dxfId="1" priority="7" rank="10"/>
  </conditionalFormatting>
  <conditionalFormatting sqref="T2:T97">
    <cfRule type="top10" dxfId="0" priority="6"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F6D5-2077-43FA-94E5-398E6C403247}">
  <dimension ref="A1:U1001"/>
  <sheetViews>
    <sheetView workbookViewId="0">
      <selection activeCell="N2" sqref="N2"/>
    </sheetView>
  </sheetViews>
  <sheetFormatPr defaultRowHeight="14.4" x14ac:dyDescent="0.3"/>
  <cols>
    <col min="3" max="3" width="11.77734375" customWidth="1"/>
  </cols>
  <sheetData>
    <row r="1" spans="1:21" x14ac:dyDescent="0.3">
      <c r="A1" t="s">
        <v>97</v>
      </c>
      <c r="B1" t="s">
        <v>98</v>
      </c>
      <c r="C1" t="s">
        <v>99</v>
      </c>
      <c r="D1" t="s">
        <v>100</v>
      </c>
      <c r="E1" t="s">
        <v>101</v>
      </c>
      <c r="F1" t="s">
        <v>102</v>
      </c>
      <c r="G1" s="15" t="s">
        <v>103</v>
      </c>
      <c r="H1" t="s">
        <v>104</v>
      </c>
      <c r="I1" t="s">
        <v>105</v>
      </c>
      <c r="J1" s="15" t="s">
        <v>106</v>
      </c>
      <c r="K1" t="s">
        <v>107</v>
      </c>
      <c r="L1" s="15" t="s">
        <v>148</v>
      </c>
      <c r="M1" t="s">
        <v>109</v>
      </c>
      <c r="N1" s="15" t="s">
        <v>110</v>
      </c>
      <c r="O1" t="s">
        <v>111</v>
      </c>
      <c r="P1" t="s">
        <v>112</v>
      </c>
      <c r="Q1" t="s">
        <v>113</v>
      </c>
      <c r="R1" t="s">
        <v>114</v>
      </c>
      <c r="S1" t="s">
        <v>115</v>
      </c>
      <c r="T1" t="s">
        <v>116</v>
      </c>
      <c r="U1" t="s">
        <v>117</v>
      </c>
    </row>
    <row r="2" spans="1:21" x14ac:dyDescent="0.3">
      <c r="A2">
        <v>1</v>
      </c>
      <c r="B2" t="s">
        <v>0</v>
      </c>
      <c r="C2" t="str">
        <f>TEXT(DATEVALUE(B2),"dd-mmm-yyyy")</f>
        <v>01-Jan-2011</v>
      </c>
      <c r="D2">
        <v>1</v>
      </c>
      <c r="E2">
        <v>0</v>
      </c>
      <c r="F2">
        <v>1</v>
      </c>
      <c r="G2" t="str">
        <f t="shared" ref="G2:G65" si="0">TEXT(C2,"mmm")</f>
        <v>Jan</v>
      </c>
      <c r="H2">
        <v>0</v>
      </c>
      <c r="I2">
        <f>IF(AND(H2&gt;=0,H2&lt;=10),0,1)</f>
        <v>0</v>
      </c>
      <c r="J2" t="s">
        <v>125</v>
      </c>
      <c r="K2">
        <v>6</v>
      </c>
      <c r="L2" t="str">
        <f>IF(AND(K2&gt;=1,K2&lt;=5),"Weekday","Weekend")</f>
        <v>Weekend</v>
      </c>
      <c r="M2">
        <v>1</v>
      </c>
      <c r="N2" t="str" cm="1">
        <f t="array" ref="N2">_xlfn.IFS(M2=1,"Sunny Day",M2=2,"Cloudy Day",M2=3,"Rainy Day",M2=4,"Heavy Rain")</f>
        <v>Sunny Day</v>
      </c>
      <c r="O2">
        <v>0.24</v>
      </c>
      <c r="P2">
        <v>0.28789999999999999</v>
      </c>
      <c r="Q2">
        <v>0.81</v>
      </c>
      <c r="R2">
        <v>0</v>
      </c>
      <c r="S2">
        <v>3</v>
      </c>
      <c r="T2">
        <v>13</v>
      </c>
      <c r="U2">
        <v>16</v>
      </c>
    </row>
    <row r="3" spans="1:21" x14ac:dyDescent="0.3">
      <c r="A3">
        <v>2</v>
      </c>
      <c r="B3" t="s">
        <v>0</v>
      </c>
      <c r="C3" t="str">
        <f t="shared" ref="C3:C66" si="1">TEXT(DATEVALUE(B3),"dd-mmm-yyyy")</f>
        <v>01-Jan-2011</v>
      </c>
      <c r="D3">
        <v>1</v>
      </c>
      <c r="E3">
        <v>0</v>
      </c>
      <c r="F3">
        <v>1</v>
      </c>
      <c r="G3" t="str">
        <f t="shared" si="0"/>
        <v>Jan</v>
      </c>
      <c r="H3">
        <v>1</v>
      </c>
      <c r="I3">
        <f t="shared" ref="I3:I66" si="2">IF(AND(H3&gt;=0,H3&lt;=10),0,1)</f>
        <v>0</v>
      </c>
      <c r="J3" t="s">
        <v>125</v>
      </c>
      <c r="K3">
        <v>6</v>
      </c>
      <c r="L3" t="str">
        <f t="shared" ref="L3:L66" si="3">IF(AND(K3&gt;=1,K3&lt;=5),"Weekday","Weekend")</f>
        <v>Weekend</v>
      </c>
      <c r="M3">
        <v>1</v>
      </c>
      <c r="N3" t="str" cm="1">
        <f t="array" ref="N3">_xlfn.IFS(M3=1,"Sunny Day",M3=2,"Cloudy Day",M3=3,"Rainy Day",M3=4,"Heavy Rain")</f>
        <v>Sunny Day</v>
      </c>
      <c r="O3">
        <v>0.22</v>
      </c>
      <c r="P3">
        <v>0.2727</v>
      </c>
      <c r="Q3">
        <v>0.8</v>
      </c>
      <c r="R3">
        <v>0</v>
      </c>
      <c r="S3">
        <v>8</v>
      </c>
      <c r="T3">
        <v>32</v>
      </c>
      <c r="U3">
        <v>40</v>
      </c>
    </row>
    <row r="4" spans="1:21" x14ac:dyDescent="0.3">
      <c r="A4">
        <v>3</v>
      </c>
      <c r="B4" t="s">
        <v>0</v>
      </c>
      <c r="C4" t="str">
        <f t="shared" si="1"/>
        <v>01-Jan-2011</v>
      </c>
      <c r="D4">
        <v>1</v>
      </c>
      <c r="E4">
        <v>0</v>
      </c>
      <c r="F4">
        <v>1</v>
      </c>
      <c r="G4" t="str">
        <f t="shared" si="0"/>
        <v>Jan</v>
      </c>
      <c r="H4">
        <v>2</v>
      </c>
      <c r="I4">
        <f t="shared" si="2"/>
        <v>0</v>
      </c>
      <c r="J4" t="s">
        <v>125</v>
      </c>
      <c r="K4">
        <v>6</v>
      </c>
      <c r="L4" t="str">
        <f t="shared" si="3"/>
        <v>Weekend</v>
      </c>
      <c r="M4">
        <v>1</v>
      </c>
      <c r="N4" t="str" cm="1">
        <f t="array" ref="N4">_xlfn.IFS(M4=1,"Sunny Day",M4=2,"Cloudy Day",M4=3,"Rainy Day",M4=4,"Heavy Rain")</f>
        <v>Sunny Day</v>
      </c>
      <c r="O4">
        <v>0.22</v>
      </c>
      <c r="P4">
        <v>0.2727</v>
      </c>
      <c r="Q4">
        <v>0.8</v>
      </c>
      <c r="R4">
        <v>0</v>
      </c>
      <c r="S4">
        <v>5</v>
      </c>
      <c r="T4">
        <v>27</v>
      </c>
      <c r="U4">
        <v>32</v>
      </c>
    </row>
    <row r="5" spans="1:21" x14ac:dyDescent="0.3">
      <c r="A5">
        <v>4</v>
      </c>
      <c r="B5" t="s">
        <v>0</v>
      </c>
      <c r="C5" t="str">
        <f t="shared" si="1"/>
        <v>01-Jan-2011</v>
      </c>
      <c r="D5">
        <v>1</v>
      </c>
      <c r="E5">
        <v>0</v>
      </c>
      <c r="F5">
        <v>1</v>
      </c>
      <c r="G5" t="str">
        <f t="shared" si="0"/>
        <v>Jan</v>
      </c>
      <c r="H5">
        <v>3</v>
      </c>
      <c r="I5">
        <f t="shared" si="2"/>
        <v>0</v>
      </c>
      <c r="J5" t="s">
        <v>125</v>
      </c>
      <c r="K5">
        <v>6</v>
      </c>
      <c r="L5" t="str">
        <f t="shared" si="3"/>
        <v>Weekend</v>
      </c>
      <c r="M5">
        <v>1</v>
      </c>
      <c r="N5" t="str" cm="1">
        <f t="array" ref="N5">_xlfn.IFS(M5=1,"Sunny Day",M5=2,"Cloudy Day",M5=3,"Rainy Day",M5=4,"Heavy Rain")</f>
        <v>Sunny Day</v>
      </c>
      <c r="O5">
        <v>0.24</v>
      </c>
      <c r="P5">
        <v>0.28789999999999999</v>
      </c>
      <c r="Q5">
        <v>0.75</v>
      </c>
      <c r="R5">
        <v>0</v>
      </c>
      <c r="S5">
        <v>3</v>
      </c>
      <c r="T5">
        <v>10</v>
      </c>
      <c r="U5">
        <v>13</v>
      </c>
    </row>
    <row r="6" spans="1:21" x14ac:dyDescent="0.3">
      <c r="A6">
        <v>5</v>
      </c>
      <c r="B6" t="s">
        <v>0</v>
      </c>
      <c r="C6" t="str">
        <f t="shared" si="1"/>
        <v>01-Jan-2011</v>
      </c>
      <c r="D6">
        <v>1</v>
      </c>
      <c r="E6">
        <v>0</v>
      </c>
      <c r="F6">
        <v>1</v>
      </c>
      <c r="G6" t="str">
        <f t="shared" si="0"/>
        <v>Jan</v>
      </c>
      <c r="H6">
        <v>4</v>
      </c>
      <c r="I6">
        <f t="shared" si="2"/>
        <v>0</v>
      </c>
      <c r="J6" t="s">
        <v>125</v>
      </c>
      <c r="K6">
        <v>6</v>
      </c>
      <c r="L6" t="str">
        <f t="shared" si="3"/>
        <v>Weekend</v>
      </c>
      <c r="M6">
        <v>1</v>
      </c>
      <c r="N6" t="str" cm="1">
        <f t="array" ref="N6">_xlfn.IFS(M6=1,"Sunny Day",M6=2,"Cloudy Day",M6=3,"Rainy Day",M6=4,"Heavy Rain")</f>
        <v>Sunny Day</v>
      </c>
      <c r="O6">
        <v>0.24</v>
      </c>
      <c r="P6">
        <v>0.28789999999999999</v>
      </c>
      <c r="Q6">
        <v>0.75</v>
      </c>
      <c r="R6">
        <v>0</v>
      </c>
      <c r="S6">
        <v>0</v>
      </c>
      <c r="T6">
        <v>1</v>
      </c>
      <c r="U6">
        <v>1</v>
      </c>
    </row>
    <row r="7" spans="1:21" x14ac:dyDescent="0.3">
      <c r="A7">
        <v>6</v>
      </c>
      <c r="B7" t="s">
        <v>0</v>
      </c>
      <c r="C7" t="str">
        <f t="shared" si="1"/>
        <v>01-Jan-2011</v>
      </c>
      <c r="D7">
        <v>1</v>
      </c>
      <c r="E7">
        <v>0</v>
      </c>
      <c r="F7">
        <v>1</v>
      </c>
      <c r="G7" t="str">
        <f t="shared" si="0"/>
        <v>Jan</v>
      </c>
      <c r="H7">
        <v>5</v>
      </c>
      <c r="I7">
        <f t="shared" si="2"/>
        <v>0</v>
      </c>
      <c r="J7" t="s">
        <v>125</v>
      </c>
      <c r="K7">
        <v>6</v>
      </c>
      <c r="L7" t="str">
        <f t="shared" si="3"/>
        <v>Weekend</v>
      </c>
      <c r="M7">
        <v>2</v>
      </c>
      <c r="N7" t="str" cm="1">
        <f t="array" ref="N7">_xlfn.IFS(M7=1,"Sunny Day",M7=2,"Cloudy Day",M7=3,"Rainy Day",M7=4,"Heavy Rain")</f>
        <v>Cloudy Day</v>
      </c>
      <c r="O7">
        <v>0.24</v>
      </c>
      <c r="P7">
        <v>0.2576</v>
      </c>
      <c r="Q7">
        <v>0.75</v>
      </c>
      <c r="R7">
        <v>8.9599999999999999E-2</v>
      </c>
      <c r="S7">
        <v>0</v>
      </c>
      <c r="T7">
        <v>1</v>
      </c>
      <c r="U7">
        <v>1</v>
      </c>
    </row>
    <row r="8" spans="1:21" x14ac:dyDescent="0.3">
      <c r="A8">
        <v>7</v>
      </c>
      <c r="B8" t="s">
        <v>0</v>
      </c>
      <c r="C8" t="str">
        <f t="shared" si="1"/>
        <v>01-Jan-2011</v>
      </c>
      <c r="D8">
        <v>1</v>
      </c>
      <c r="E8">
        <v>0</v>
      </c>
      <c r="F8">
        <v>1</v>
      </c>
      <c r="G8" t="str">
        <f t="shared" si="0"/>
        <v>Jan</v>
      </c>
      <c r="H8">
        <v>6</v>
      </c>
      <c r="I8">
        <f t="shared" si="2"/>
        <v>0</v>
      </c>
      <c r="J8" t="s">
        <v>125</v>
      </c>
      <c r="K8">
        <v>6</v>
      </c>
      <c r="L8" t="str">
        <f t="shared" si="3"/>
        <v>Weekend</v>
      </c>
      <c r="M8">
        <v>1</v>
      </c>
      <c r="N8" t="str" cm="1">
        <f t="array" ref="N8">_xlfn.IFS(M8=1,"Sunny Day",M8=2,"Cloudy Day",M8=3,"Rainy Day",M8=4,"Heavy Rain")</f>
        <v>Sunny Day</v>
      </c>
      <c r="O8">
        <v>0.22</v>
      </c>
      <c r="P8">
        <v>0.2727</v>
      </c>
      <c r="Q8">
        <v>0.8</v>
      </c>
      <c r="R8">
        <v>0</v>
      </c>
      <c r="S8">
        <v>2</v>
      </c>
      <c r="T8">
        <v>0</v>
      </c>
      <c r="U8">
        <v>2</v>
      </c>
    </row>
    <row r="9" spans="1:21" x14ac:dyDescent="0.3">
      <c r="A9">
        <v>8</v>
      </c>
      <c r="B9" t="s">
        <v>0</v>
      </c>
      <c r="C9" t="str">
        <f t="shared" si="1"/>
        <v>01-Jan-2011</v>
      </c>
      <c r="D9">
        <v>1</v>
      </c>
      <c r="E9">
        <v>0</v>
      </c>
      <c r="F9">
        <v>1</v>
      </c>
      <c r="G9" t="str">
        <f t="shared" si="0"/>
        <v>Jan</v>
      </c>
      <c r="H9">
        <v>7</v>
      </c>
      <c r="I9">
        <f t="shared" si="2"/>
        <v>0</v>
      </c>
      <c r="J9" t="s">
        <v>125</v>
      </c>
      <c r="K9">
        <v>6</v>
      </c>
      <c r="L9" t="str">
        <f t="shared" si="3"/>
        <v>Weekend</v>
      </c>
      <c r="M9">
        <v>1</v>
      </c>
      <c r="N9" t="str" cm="1">
        <f t="array" ref="N9">_xlfn.IFS(M9=1,"Sunny Day",M9=2,"Cloudy Day",M9=3,"Rainy Day",M9=4,"Heavy Rain")</f>
        <v>Sunny Day</v>
      </c>
      <c r="O9">
        <v>0.2</v>
      </c>
      <c r="P9">
        <v>0.2576</v>
      </c>
      <c r="Q9">
        <v>0.86</v>
      </c>
      <c r="R9">
        <v>0</v>
      </c>
      <c r="S9">
        <v>1</v>
      </c>
      <c r="T9">
        <v>2</v>
      </c>
      <c r="U9">
        <v>3</v>
      </c>
    </row>
    <row r="10" spans="1:21" x14ac:dyDescent="0.3">
      <c r="A10">
        <v>9</v>
      </c>
      <c r="B10" t="s">
        <v>0</v>
      </c>
      <c r="C10" t="str">
        <f t="shared" si="1"/>
        <v>01-Jan-2011</v>
      </c>
      <c r="D10">
        <v>1</v>
      </c>
      <c r="E10">
        <v>0</v>
      </c>
      <c r="F10">
        <v>1</v>
      </c>
      <c r="G10" t="str">
        <f t="shared" si="0"/>
        <v>Jan</v>
      </c>
      <c r="H10">
        <v>8</v>
      </c>
      <c r="I10">
        <f t="shared" si="2"/>
        <v>0</v>
      </c>
      <c r="J10" t="s">
        <v>125</v>
      </c>
      <c r="K10">
        <v>6</v>
      </c>
      <c r="L10" t="str">
        <f t="shared" si="3"/>
        <v>Weekend</v>
      </c>
      <c r="M10">
        <v>1</v>
      </c>
      <c r="N10" t="str" cm="1">
        <f t="array" ref="N10">_xlfn.IFS(M10=1,"Sunny Day",M10=2,"Cloudy Day",M10=3,"Rainy Day",M10=4,"Heavy Rain")</f>
        <v>Sunny Day</v>
      </c>
      <c r="O10">
        <v>0.24</v>
      </c>
      <c r="P10" t="s">
        <v>5</v>
      </c>
      <c r="Q10">
        <v>0.75</v>
      </c>
      <c r="R10">
        <v>0</v>
      </c>
      <c r="S10">
        <v>1</v>
      </c>
      <c r="T10">
        <v>7</v>
      </c>
      <c r="U10">
        <v>8</v>
      </c>
    </row>
    <row r="11" spans="1:21" x14ac:dyDescent="0.3">
      <c r="A11">
        <v>10</v>
      </c>
      <c r="B11" t="s">
        <v>0</v>
      </c>
      <c r="C11" t="str">
        <f t="shared" si="1"/>
        <v>01-Jan-2011</v>
      </c>
      <c r="D11">
        <v>1</v>
      </c>
      <c r="E11">
        <v>0</v>
      </c>
      <c r="F11">
        <v>1</v>
      </c>
      <c r="G11" t="str">
        <f t="shared" si="0"/>
        <v>Jan</v>
      </c>
      <c r="H11">
        <v>9</v>
      </c>
      <c r="I11">
        <f t="shared" si="2"/>
        <v>0</v>
      </c>
      <c r="J11" t="s">
        <v>125</v>
      </c>
      <c r="K11">
        <v>6</v>
      </c>
      <c r="L11" t="str">
        <f t="shared" si="3"/>
        <v>Weekend</v>
      </c>
      <c r="M11">
        <v>1</v>
      </c>
      <c r="N11" t="str" cm="1">
        <f t="array" ref="N11">_xlfn.IFS(M11=1,"Sunny Day",M11=2,"Cloudy Day",M11=3,"Rainy Day",M11=4,"Heavy Rain")</f>
        <v>Sunny Day</v>
      </c>
      <c r="O11">
        <v>0.32</v>
      </c>
      <c r="P11">
        <v>0.34849999999999998</v>
      </c>
      <c r="Q11">
        <v>0.76</v>
      </c>
      <c r="R11">
        <v>0</v>
      </c>
      <c r="S11">
        <v>8</v>
      </c>
      <c r="T11">
        <v>6</v>
      </c>
      <c r="U11">
        <v>14</v>
      </c>
    </row>
    <row r="12" spans="1:21" x14ac:dyDescent="0.3">
      <c r="A12">
        <v>11</v>
      </c>
      <c r="B12" t="s">
        <v>0</v>
      </c>
      <c r="C12" t="str">
        <f t="shared" si="1"/>
        <v>01-Jan-2011</v>
      </c>
      <c r="D12">
        <v>1</v>
      </c>
      <c r="E12">
        <v>0</v>
      </c>
      <c r="F12">
        <v>1</v>
      </c>
      <c r="G12" t="str">
        <f t="shared" si="0"/>
        <v>Jan</v>
      </c>
      <c r="H12">
        <v>10</v>
      </c>
      <c r="I12">
        <f t="shared" si="2"/>
        <v>0</v>
      </c>
      <c r="J12" t="s">
        <v>125</v>
      </c>
      <c r="K12">
        <v>6</v>
      </c>
      <c r="L12" t="str">
        <f t="shared" si="3"/>
        <v>Weekend</v>
      </c>
      <c r="M12">
        <v>1</v>
      </c>
      <c r="N12" t="str" cm="1">
        <f t="array" ref="N12">_xlfn.IFS(M12=1,"Sunny Day",M12=2,"Cloudy Day",M12=3,"Rainy Day",M12=4,"Heavy Rain")</f>
        <v>Sunny Day</v>
      </c>
      <c r="O12">
        <v>0.38</v>
      </c>
      <c r="P12">
        <v>0.39389999999999997</v>
      </c>
      <c r="Q12">
        <v>0.76</v>
      </c>
      <c r="R12">
        <v>0.25369999999999998</v>
      </c>
      <c r="S12">
        <v>12</v>
      </c>
      <c r="T12">
        <v>24</v>
      </c>
      <c r="U12">
        <v>36</v>
      </c>
    </row>
    <row r="13" spans="1:21" x14ac:dyDescent="0.3">
      <c r="A13">
        <v>12</v>
      </c>
      <c r="B13" t="s">
        <v>0</v>
      </c>
      <c r="C13" t="str">
        <f t="shared" si="1"/>
        <v>01-Jan-2011</v>
      </c>
      <c r="D13">
        <v>1</v>
      </c>
      <c r="E13">
        <v>0</v>
      </c>
      <c r="F13">
        <v>1</v>
      </c>
      <c r="G13" t="str">
        <f t="shared" si="0"/>
        <v>Jan</v>
      </c>
      <c r="H13">
        <v>11</v>
      </c>
      <c r="I13">
        <f t="shared" si="2"/>
        <v>1</v>
      </c>
      <c r="J13" t="s">
        <v>125</v>
      </c>
      <c r="K13">
        <v>6</v>
      </c>
      <c r="L13" t="str">
        <f t="shared" si="3"/>
        <v>Weekend</v>
      </c>
      <c r="M13">
        <v>1</v>
      </c>
      <c r="N13" t="str" cm="1">
        <f t="array" ref="N13">_xlfn.IFS(M13=1,"Sunny Day",M13=2,"Cloudy Day",M13=3,"Rainy Day",M13=4,"Heavy Rain")</f>
        <v>Sunny Day</v>
      </c>
      <c r="O13">
        <v>0.36</v>
      </c>
      <c r="P13">
        <v>0.33329999999999999</v>
      </c>
      <c r="Q13">
        <v>0.81</v>
      </c>
      <c r="R13">
        <v>0.28360000000000002</v>
      </c>
      <c r="S13">
        <v>26</v>
      </c>
      <c r="T13">
        <v>30</v>
      </c>
      <c r="U13">
        <v>56</v>
      </c>
    </row>
    <row r="14" spans="1:21" x14ac:dyDescent="0.3">
      <c r="A14">
        <v>13</v>
      </c>
      <c r="B14" t="s">
        <v>0</v>
      </c>
      <c r="C14" t="str">
        <f t="shared" si="1"/>
        <v>01-Jan-2011</v>
      </c>
      <c r="D14">
        <v>1</v>
      </c>
      <c r="E14">
        <v>0</v>
      </c>
      <c r="F14">
        <v>1</v>
      </c>
      <c r="G14" t="str">
        <f t="shared" si="0"/>
        <v>Jan</v>
      </c>
      <c r="H14">
        <v>12</v>
      </c>
      <c r="I14">
        <f t="shared" si="2"/>
        <v>1</v>
      </c>
      <c r="J14" t="s">
        <v>125</v>
      </c>
      <c r="K14">
        <v>6</v>
      </c>
      <c r="L14" t="str">
        <f t="shared" si="3"/>
        <v>Weekend</v>
      </c>
      <c r="M14">
        <v>1</v>
      </c>
      <c r="N14" t="str" cm="1">
        <f t="array" ref="N14">_xlfn.IFS(M14=1,"Sunny Day",M14=2,"Cloudy Day",M14=3,"Rainy Day",M14=4,"Heavy Rain")</f>
        <v>Sunny Day</v>
      </c>
      <c r="O14">
        <v>0.42</v>
      </c>
      <c r="P14">
        <v>0.42420000000000002</v>
      </c>
      <c r="Q14">
        <v>0.77</v>
      </c>
      <c r="R14">
        <v>0.28360000000000002</v>
      </c>
      <c r="S14">
        <v>29</v>
      </c>
      <c r="T14">
        <v>55</v>
      </c>
      <c r="U14">
        <v>84</v>
      </c>
    </row>
    <row r="15" spans="1:21" x14ac:dyDescent="0.3">
      <c r="A15">
        <v>14</v>
      </c>
      <c r="B15" t="s">
        <v>0</v>
      </c>
      <c r="C15" t="str">
        <f t="shared" si="1"/>
        <v>01-Jan-2011</v>
      </c>
      <c r="D15">
        <v>1</v>
      </c>
      <c r="E15">
        <v>0</v>
      </c>
      <c r="F15">
        <v>1</v>
      </c>
      <c r="G15" t="str">
        <f t="shared" si="0"/>
        <v>Jan</v>
      </c>
      <c r="H15">
        <v>13</v>
      </c>
      <c r="I15">
        <f t="shared" si="2"/>
        <v>1</v>
      </c>
      <c r="J15" t="s">
        <v>125</v>
      </c>
      <c r="K15">
        <v>6</v>
      </c>
      <c r="L15" t="str">
        <f t="shared" si="3"/>
        <v>Weekend</v>
      </c>
      <c r="M15">
        <v>2</v>
      </c>
      <c r="N15" t="str" cm="1">
        <f t="array" ref="N15">_xlfn.IFS(M15=1,"Sunny Day",M15=2,"Cloudy Day",M15=3,"Rainy Day",M15=4,"Heavy Rain")</f>
        <v>Cloudy Day</v>
      </c>
      <c r="O15">
        <v>0.46</v>
      </c>
      <c r="P15">
        <v>0.45450000000000002</v>
      </c>
      <c r="Q15">
        <v>0.72</v>
      </c>
      <c r="R15">
        <v>0.29849999999999999</v>
      </c>
      <c r="S15">
        <v>47</v>
      </c>
      <c r="T15">
        <v>47</v>
      </c>
      <c r="U15">
        <v>94</v>
      </c>
    </row>
    <row r="16" spans="1:21" x14ac:dyDescent="0.3">
      <c r="A16">
        <v>15</v>
      </c>
      <c r="B16" t="s">
        <v>0</v>
      </c>
      <c r="C16" t="str">
        <f t="shared" si="1"/>
        <v>01-Jan-2011</v>
      </c>
      <c r="D16">
        <v>1</v>
      </c>
      <c r="E16">
        <v>0</v>
      </c>
      <c r="F16">
        <v>1</v>
      </c>
      <c r="G16" t="str">
        <f t="shared" si="0"/>
        <v>Jan</v>
      </c>
      <c r="H16">
        <v>14</v>
      </c>
      <c r="I16">
        <f t="shared" si="2"/>
        <v>1</v>
      </c>
      <c r="J16" t="s">
        <v>125</v>
      </c>
      <c r="K16">
        <v>6</v>
      </c>
      <c r="L16" t="str">
        <f t="shared" si="3"/>
        <v>Weekend</v>
      </c>
      <c r="M16">
        <v>2</v>
      </c>
      <c r="N16" t="str" cm="1">
        <f t="array" ref="N16">_xlfn.IFS(M16=1,"Sunny Day",M16=2,"Cloudy Day",M16=3,"Rainy Day",M16=4,"Heavy Rain")</f>
        <v>Cloudy Day</v>
      </c>
      <c r="O16">
        <v>0.46</v>
      </c>
      <c r="P16">
        <v>0.45450000000000002</v>
      </c>
      <c r="Q16">
        <v>0.72</v>
      </c>
      <c r="R16">
        <v>0.28360000000000002</v>
      </c>
      <c r="S16">
        <v>35</v>
      </c>
      <c r="T16">
        <v>71</v>
      </c>
      <c r="U16">
        <v>106</v>
      </c>
    </row>
    <row r="17" spans="1:21" x14ac:dyDescent="0.3">
      <c r="A17">
        <v>16</v>
      </c>
      <c r="B17" t="s">
        <v>0</v>
      </c>
      <c r="C17" t="str">
        <f t="shared" si="1"/>
        <v>01-Jan-2011</v>
      </c>
      <c r="D17">
        <v>1</v>
      </c>
      <c r="E17">
        <v>0</v>
      </c>
      <c r="F17">
        <v>1</v>
      </c>
      <c r="G17" t="str">
        <f t="shared" si="0"/>
        <v>Jan</v>
      </c>
      <c r="H17">
        <v>15</v>
      </c>
      <c r="I17">
        <f t="shared" si="2"/>
        <v>1</v>
      </c>
      <c r="J17" t="s">
        <v>125</v>
      </c>
      <c r="K17">
        <v>6</v>
      </c>
      <c r="L17" t="str">
        <f t="shared" si="3"/>
        <v>Weekend</v>
      </c>
      <c r="M17">
        <v>2</v>
      </c>
      <c r="N17" t="str" cm="1">
        <f t="array" ref="N17">_xlfn.IFS(M17=1,"Sunny Day",M17=2,"Cloudy Day",M17=3,"Rainy Day",M17=4,"Heavy Rain")</f>
        <v>Cloudy Day</v>
      </c>
      <c r="O17">
        <v>0.44</v>
      </c>
      <c r="P17">
        <v>0.43940000000000001</v>
      </c>
      <c r="Q17">
        <v>0.77</v>
      </c>
      <c r="R17">
        <v>0.29849999999999999</v>
      </c>
      <c r="S17">
        <v>40</v>
      </c>
      <c r="T17">
        <v>70</v>
      </c>
      <c r="U17">
        <v>110</v>
      </c>
    </row>
    <row r="18" spans="1:21" x14ac:dyDescent="0.3">
      <c r="A18">
        <v>17</v>
      </c>
      <c r="B18" t="s">
        <v>0</v>
      </c>
      <c r="C18" t="str">
        <f t="shared" si="1"/>
        <v>01-Jan-2011</v>
      </c>
      <c r="D18">
        <v>1</v>
      </c>
      <c r="E18">
        <v>0</v>
      </c>
      <c r="F18">
        <v>1</v>
      </c>
      <c r="G18" t="str">
        <f t="shared" si="0"/>
        <v>Jan</v>
      </c>
      <c r="H18">
        <v>16</v>
      </c>
      <c r="I18">
        <f t="shared" si="2"/>
        <v>1</v>
      </c>
      <c r="J18" t="s">
        <v>125</v>
      </c>
      <c r="K18">
        <v>6</v>
      </c>
      <c r="L18" t="str">
        <f t="shared" si="3"/>
        <v>Weekend</v>
      </c>
      <c r="M18">
        <v>2</v>
      </c>
      <c r="N18" t="str" cm="1">
        <f t="array" ref="N18">_xlfn.IFS(M18=1,"Sunny Day",M18=2,"Cloudy Day",M18=3,"Rainy Day",M18=4,"Heavy Rain")</f>
        <v>Cloudy Day</v>
      </c>
      <c r="O18">
        <v>0.42</v>
      </c>
      <c r="P18">
        <v>0.42420000000000002</v>
      </c>
      <c r="Q18">
        <v>0.82</v>
      </c>
      <c r="R18">
        <v>0.29849999999999999</v>
      </c>
      <c r="S18">
        <v>41</v>
      </c>
      <c r="T18">
        <v>52</v>
      </c>
      <c r="U18">
        <v>93</v>
      </c>
    </row>
    <row r="19" spans="1:21" x14ac:dyDescent="0.3">
      <c r="A19">
        <v>18</v>
      </c>
      <c r="B19" t="s">
        <v>0</v>
      </c>
      <c r="C19" t="str">
        <f t="shared" si="1"/>
        <v>01-Jan-2011</v>
      </c>
      <c r="D19">
        <v>1</v>
      </c>
      <c r="E19">
        <v>0</v>
      </c>
      <c r="F19">
        <v>1</v>
      </c>
      <c r="G19" t="str">
        <f t="shared" si="0"/>
        <v>Jan</v>
      </c>
      <c r="H19">
        <v>17</v>
      </c>
      <c r="I19">
        <f t="shared" si="2"/>
        <v>1</v>
      </c>
      <c r="J19" t="s">
        <v>125</v>
      </c>
      <c r="K19">
        <v>6</v>
      </c>
      <c r="L19" t="str">
        <f t="shared" si="3"/>
        <v>Weekend</v>
      </c>
      <c r="M19">
        <v>2</v>
      </c>
      <c r="N19" t="str" cm="1">
        <f t="array" ref="N19">_xlfn.IFS(M19=1,"Sunny Day",M19=2,"Cloudy Day",M19=3,"Rainy Day",M19=4,"Heavy Rain")</f>
        <v>Cloudy Day</v>
      </c>
      <c r="O19">
        <v>0.44</v>
      </c>
      <c r="P19" t="s">
        <v>5</v>
      </c>
      <c r="Q19">
        <v>0.82</v>
      </c>
      <c r="R19">
        <v>0.28360000000000002</v>
      </c>
      <c r="S19">
        <v>15</v>
      </c>
      <c r="T19">
        <v>52</v>
      </c>
      <c r="U19">
        <v>67</v>
      </c>
    </row>
    <row r="20" spans="1:21" x14ac:dyDescent="0.3">
      <c r="A20">
        <v>19</v>
      </c>
      <c r="B20" t="s">
        <v>0</v>
      </c>
      <c r="C20" t="str">
        <f t="shared" si="1"/>
        <v>01-Jan-2011</v>
      </c>
      <c r="D20">
        <v>1</v>
      </c>
      <c r="E20">
        <v>0</v>
      </c>
      <c r="F20">
        <v>1</v>
      </c>
      <c r="G20" t="str">
        <f t="shared" si="0"/>
        <v>Jan</v>
      </c>
      <c r="H20">
        <v>18</v>
      </c>
      <c r="I20">
        <f t="shared" si="2"/>
        <v>1</v>
      </c>
      <c r="J20" t="s">
        <v>125</v>
      </c>
      <c r="K20">
        <v>6</v>
      </c>
      <c r="L20" t="str">
        <f t="shared" si="3"/>
        <v>Weekend</v>
      </c>
      <c r="M20">
        <v>3</v>
      </c>
      <c r="N20" t="str" cm="1">
        <f t="array" ref="N20">_xlfn.IFS(M20=1,"Sunny Day",M20=2,"Cloudy Day",M20=3,"Rainy Day",M20=4,"Heavy Rain")</f>
        <v>Rainy Day</v>
      </c>
      <c r="O20">
        <v>0.42</v>
      </c>
      <c r="P20">
        <v>0.42420000000000002</v>
      </c>
      <c r="Q20">
        <v>0.88</v>
      </c>
      <c r="R20">
        <v>0.25369999999999998</v>
      </c>
      <c r="S20">
        <v>9</v>
      </c>
      <c r="T20">
        <v>26</v>
      </c>
      <c r="U20">
        <v>35</v>
      </c>
    </row>
    <row r="21" spans="1:21" x14ac:dyDescent="0.3">
      <c r="A21">
        <v>20</v>
      </c>
      <c r="B21" t="s">
        <v>0</v>
      </c>
      <c r="C21" t="str">
        <f t="shared" si="1"/>
        <v>01-Jan-2011</v>
      </c>
      <c r="D21">
        <v>1</v>
      </c>
      <c r="E21">
        <v>0</v>
      </c>
      <c r="F21">
        <v>1</v>
      </c>
      <c r="G21" t="str">
        <f t="shared" si="0"/>
        <v>Jan</v>
      </c>
      <c r="H21">
        <v>19</v>
      </c>
      <c r="I21">
        <f t="shared" si="2"/>
        <v>1</v>
      </c>
      <c r="J21" t="s">
        <v>125</v>
      </c>
      <c r="K21">
        <v>6</v>
      </c>
      <c r="L21" t="str">
        <f t="shared" si="3"/>
        <v>Weekend</v>
      </c>
      <c r="M21">
        <v>3</v>
      </c>
      <c r="N21" t="str" cm="1">
        <f t="array" ref="N21">_xlfn.IFS(M21=1,"Sunny Day",M21=2,"Cloudy Day",M21=3,"Rainy Day",M21=4,"Heavy Rain")</f>
        <v>Rainy Day</v>
      </c>
      <c r="O21">
        <v>0.42</v>
      </c>
      <c r="P21">
        <v>0.42420000000000002</v>
      </c>
      <c r="Q21">
        <v>0.88</v>
      </c>
      <c r="R21">
        <v>0.25369999999999998</v>
      </c>
      <c r="S21">
        <v>6</v>
      </c>
      <c r="T21">
        <v>31</v>
      </c>
      <c r="U21">
        <v>37</v>
      </c>
    </row>
    <row r="22" spans="1:21" x14ac:dyDescent="0.3">
      <c r="A22">
        <v>21</v>
      </c>
      <c r="B22" t="s">
        <v>0</v>
      </c>
      <c r="C22" t="str">
        <f t="shared" si="1"/>
        <v>01-Jan-2011</v>
      </c>
      <c r="D22">
        <v>1</v>
      </c>
      <c r="E22">
        <v>0</v>
      </c>
      <c r="F22">
        <v>1</v>
      </c>
      <c r="G22" t="str">
        <f t="shared" si="0"/>
        <v>Jan</v>
      </c>
      <c r="H22">
        <v>20</v>
      </c>
      <c r="I22">
        <f t="shared" si="2"/>
        <v>1</v>
      </c>
      <c r="J22" t="s">
        <v>125</v>
      </c>
      <c r="K22">
        <v>6</v>
      </c>
      <c r="L22" t="str">
        <f t="shared" si="3"/>
        <v>Weekend</v>
      </c>
      <c r="M22">
        <v>2</v>
      </c>
      <c r="N22" t="str" cm="1">
        <f t="array" ref="N22">_xlfn.IFS(M22=1,"Sunny Day",M22=2,"Cloudy Day",M22=3,"Rainy Day",M22=4,"Heavy Rain")</f>
        <v>Cloudy Day</v>
      </c>
      <c r="O22">
        <v>0.4</v>
      </c>
      <c r="P22">
        <v>0.40910000000000002</v>
      </c>
      <c r="Q22">
        <v>0.87</v>
      </c>
      <c r="R22">
        <v>0.25369999999999998</v>
      </c>
      <c r="S22">
        <v>11</v>
      </c>
      <c r="T22">
        <v>25</v>
      </c>
      <c r="U22">
        <v>36</v>
      </c>
    </row>
    <row r="23" spans="1:21" x14ac:dyDescent="0.3">
      <c r="A23">
        <v>22</v>
      </c>
      <c r="B23" t="s">
        <v>0</v>
      </c>
      <c r="C23" t="str">
        <f t="shared" si="1"/>
        <v>01-Jan-2011</v>
      </c>
      <c r="D23">
        <v>1</v>
      </c>
      <c r="E23">
        <v>0</v>
      </c>
      <c r="F23">
        <v>1</v>
      </c>
      <c r="G23" t="str">
        <f t="shared" si="0"/>
        <v>Jan</v>
      </c>
      <c r="H23">
        <v>21</v>
      </c>
      <c r="I23">
        <f t="shared" si="2"/>
        <v>1</v>
      </c>
      <c r="J23" t="s">
        <v>125</v>
      </c>
      <c r="K23">
        <v>6</v>
      </c>
      <c r="L23" t="str">
        <f t="shared" si="3"/>
        <v>Weekend</v>
      </c>
      <c r="M23">
        <v>2</v>
      </c>
      <c r="N23" t="str" cm="1">
        <f t="array" ref="N23">_xlfn.IFS(M23=1,"Sunny Day",M23=2,"Cloudy Day",M23=3,"Rainy Day",M23=4,"Heavy Rain")</f>
        <v>Cloudy Day</v>
      </c>
      <c r="O23">
        <v>0.4</v>
      </c>
      <c r="P23">
        <v>0.40910000000000002</v>
      </c>
      <c r="Q23">
        <v>0.87</v>
      </c>
      <c r="R23">
        <v>0.19400000000000001</v>
      </c>
      <c r="S23">
        <v>3</v>
      </c>
      <c r="T23">
        <v>31</v>
      </c>
      <c r="U23">
        <v>34</v>
      </c>
    </row>
    <row r="24" spans="1:21" x14ac:dyDescent="0.3">
      <c r="A24">
        <v>23</v>
      </c>
      <c r="B24" t="s">
        <v>0</v>
      </c>
      <c r="C24" t="str">
        <f t="shared" si="1"/>
        <v>01-Jan-2011</v>
      </c>
      <c r="D24">
        <v>1</v>
      </c>
      <c r="E24">
        <v>0</v>
      </c>
      <c r="F24">
        <v>1</v>
      </c>
      <c r="G24" t="str">
        <f t="shared" si="0"/>
        <v>Jan</v>
      </c>
      <c r="H24">
        <v>22</v>
      </c>
      <c r="I24">
        <f t="shared" si="2"/>
        <v>1</v>
      </c>
      <c r="J24" t="s">
        <v>125</v>
      </c>
      <c r="K24">
        <v>6</v>
      </c>
      <c r="L24" t="str">
        <f t="shared" si="3"/>
        <v>Weekend</v>
      </c>
      <c r="M24">
        <v>2</v>
      </c>
      <c r="N24" t="str" cm="1">
        <f t="array" ref="N24">_xlfn.IFS(M24=1,"Sunny Day",M24=2,"Cloudy Day",M24=3,"Rainy Day",M24=4,"Heavy Rain")</f>
        <v>Cloudy Day</v>
      </c>
      <c r="O24">
        <v>0.4</v>
      </c>
      <c r="P24">
        <v>0.40910000000000002</v>
      </c>
      <c r="Q24">
        <v>0.94</v>
      </c>
      <c r="R24">
        <v>0.22389999999999999</v>
      </c>
      <c r="S24">
        <v>11</v>
      </c>
      <c r="T24">
        <v>17</v>
      </c>
      <c r="U24">
        <v>28</v>
      </c>
    </row>
    <row r="25" spans="1:21" x14ac:dyDescent="0.3">
      <c r="A25">
        <v>24</v>
      </c>
      <c r="B25" t="s">
        <v>0</v>
      </c>
      <c r="C25" t="str">
        <f t="shared" si="1"/>
        <v>01-Jan-2011</v>
      </c>
      <c r="D25">
        <v>1</v>
      </c>
      <c r="E25">
        <v>0</v>
      </c>
      <c r="F25">
        <v>1</v>
      </c>
      <c r="G25" t="str">
        <f t="shared" si="0"/>
        <v>Jan</v>
      </c>
      <c r="H25">
        <v>23</v>
      </c>
      <c r="I25">
        <f t="shared" si="2"/>
        <v>1</v>
      </c>
      <c r="J25" t="s">
        <v>125</v>
      </c>
      <c r="K25">
        <v>6</v>
      </c>
      <c r="L25" t="str">
        <f t="shared" si="3"/>
        <v>Weekend</v>
      </c>
      <c r="M25">
        <v>2</v>
      </c>
      <c r="N25" t="str" cm="1">
        <f t="array" ref="N25">_xlfn.IFS(M25=1,"Sunny Day",M25=2,"Cloudy Day",M25=3,"Rainy Day",M25=4,"Heavy Rain")</f>
        <v>Cloudy Day</v>
      </c>
      <c r="O25">
        <v>0.46</v>
      </c>
      <c r="P25" t="s">
        <v>5</v>
      </c>
      <c r="Q25">
        <v>0.88</v>
      </c>
      <c r="R25">
        <v>0.29849999999999999</v>
      </c>
      <c r="S25">
        <v>15</v>
      </c>
      <c r="T25">
        <v>24</v>
      </c>
      <c r="U25">
        <v>39</v>
      </c>
    </row>
    <row r="26" spans="1:21" x14ac:dyDescent="0.3">
      <c r="A26">
        <v>25</v>
      </c>
      <c r="B26" t="s">
        <v>7</v>
      </c>
      <c r="C26" t="str">
        <f t="shared" si="1"/>
        <v>02-Jan-2011</v>
      </c>
      <c r="D26">
        <v>1</v>
      </c>
      <c r="E26">
        <v>0</v>
      </c>
      <c r="F26">
        <v>1</v>
      </c>
      <c r="G26" t="str">
        <f t="shared" si="0"/>
        <v>Jan</v>
      </c>
      <c r="H26">
        <v>0</v>
      </c>
      <c r="I26">
        <f t="shared" si="2"/>
        <v>0</v>
      </c>
      <c r="J26" t="s">
        <v>125</v>
      </c>
      <c r="K26">
        <v>0</v>
      </c>
      <c r="L26" t="str">
        <f t="shared" si="3"/>
        <v>Weekend</v>
      </c>
      <c r="M26">
        <v>2</v>
      </c>
      <c r="N26" t="str" cm="1">
        <f t="array" ref="N26">_xlfn.IFS(M26=1,"Sunny Day",M26=2,"Cloudy Day",M26=3,"Rainy Day",M26=4,"Heavy Rain")</f>
        <v>Cloudy Day</v>
      </c>
      <c r="O26">
        <v>0.46</v>
      </c>
      <c r="P26">
        <v>0.45450000000000002</v>
      </c>
      <c r="Q26">
        <v>0.88</v>
      </c>
      <c r="R26">
        <v>0.29849999999999999</v>
      </c>
      <c r="S26">
        <v>4</v>
      </c>
      <c r="T26">
        <v>13</v>
      </c>
      <c r="U26">
        <v>17</v>
      </c>
    </row>
    <row r="27" spans="1:21" x14ac:dyDescent="0.3">
      <c r="A27">
        <v>26</v>
      </c>
      <c r="B27" t="s">
        <v>7</v>
      </c>
      <c r="C27" t="str">
        <f t="shared" si="1"/>
        <v>02-Jan-2011</v>
      </c>
      <c r="D27">
        <v>1</v>
      </c>
      <c r="E27">
        <v>0</v>
      </c>
      <c r="F27">
        <v>1</v>
      </c>
      <c r="G27" t="str">
        <f t="shared" si="0"/>
        <v>Jan</v>
      </c>
      <c r="H27">
        <v>1</v>
      </c>
      <c r="I27">
        <f t="shared" si="2"/>
        <v>0</v>
      </c>
      <c r="J27" t="s">
        <v>125</v>
      </c>
      <c r="K27">
        <v>0</v>
      </c>
      <c r="L27" t="str">
        <f t="shared" si="3"/>
        <v>Weekend</v>
      </c>
      <c r="M27">
        <v>2</v>
      </c>
      <c r="N27" t="str" cm="1">
        <f t="array" ref="N27">_xlfn.IFS(M27=1,"Sunny Day",M27=2,"Cloudy Day",M27=3,"Rainy Day",M27=4,"Heavy Rain")</f>
        <v>Cloudy Day</v>
      </c>
      <c r="O27">
        <v>0.44</v>
      </c>
      <c r="P27">
        <v>0.43940000000000001</v>
      </c>
      <c r="Q27">
        <v>0.94</v>
      </c>
      <c r="R27">
        <v>0.25369999999999998</v>
      </c>
      <c r="S27">
        <v>1</v>
      </c>
      <c r="T27">
        <v>16</v>
      </c>
      <c r="U27">
        <v>17</v>
      </c>
    </row>
    <row r="28" spans="1:21" x14ac:dyDescent="0.3">
      <c r="A28">
        <v>27</v>
      </c>
      <c r="B28" t="s">
        <v>7</v>
      </c>
      <c r="C28" t="str">
        <f t="shared" si="1"/>
        <v>02-Jan-2011</v>
      </c>
      <c r="D28">
        <v>1</v>
      </c>
      <c r="E28">
        <v>0</v>
      </c>
      <c r="F28">
        <v>1</v>
      </c>
      <c r="G28" t="str">
        <f t="shared" si="0"/>
        <v>Jan</v>
      </c>
      <c r="H28">
        <v>2</v>
      </c>
      <c r="I28">
        <f t="shared" si="2"/>
        <v>0</v>
      </c>
      <c r="J28" t="s">
        <v>125</v>
      </c>
      <c r="K28">
        <v>0</v>
      </c>
      <c r="L28" t="str">
        <f t="shared" si="3"/>
        <v>Weekend</v>
      </c>
      <c r="M28">
        <v>2</v>
      </c>
      <c r="N28" t="str" cm="1">
        <f t="array" ref="N28">_xlfn.IFS(M28=1,"Sunny Day",M28=2,"Cloudy Day",M28=3,"Rainy Day",M28=4,"Heavy Rain")</f>
        <v>Cloudy Day</v>
      </c>
      <c r="O28">
        <v>0.42</v>
      </c>
      <c r="P28">
        <v>0.42420000000000002</v>
      </c>
      <c r="Q28">
        <v>1</v>
      </c>
      <c r="R28">
        <v>0.28360000000000002</v>
      </c>
      <c r="S28">
        <v>1</v>
      </c>
      <c r="T28">
        <v>8</v>
      </c>
      <c r="U28">
        <v>9</v>
      </c>
    </row>
    <row r="29" spans="1:21" x14ac:dyDescent="0.3">
      <c r="A29">
        <v>28</v>
      </c>
      <c r="B29" t="s">
        <v>7</v>
      </c>
      <c r="C29" t="str">
        <f t="shared" si="1"/>
        <v>02-Jan-2011</v>
      </c>
      <c r="D29">
        <v>1</v>
      </c>
      <c r="E29">
        <v>0</v>
      </c>
      <c r="F29">
        <v>1</v>
      </c>
      <c r="G29" t="str">
        <f t="shared" si="0"/>
        <v>Jan</v>
      </c>
      <c r="H29">
        <v>3</v>
      </c>
      <c r="I29">
        <f t="shared" si="2"/>
        <v>0</v>
      </c>
      <c r="J29" t="s">
        <v>125</v>
      </c>
      <c r="K29">
        <v>0</v>
      </c>
      <c r="L29" t="str">
        <f t="shared" si="3"/>
        <v>Weekend</v>
      </c>
      <c r="M29">
        <v>2</v>
      </c>
      <c r="N29" t="str" cm="1">
        <f t="array" ref="N29">_xlfn.IFS(M29=1,"Sunny Day",M29=2,"Cloudy Day",M29=3,"Rainy Day",M29=4,"Heavy Rain")</f>
        <v>Cloudy Day</v>
      </c>
      <c r="O29">
        <v>0.46</v>
      </c>
      <c r="P29">
        <v>0.45450000000000002</v>
      </c>
      <c r="Q29">
        <v>0.94</v>
      </c>
      <c r="R29">
        <v>0.19400000000000001</v>
      </c>
      <c r="S29">
        <v>2</v>
      </c>
      <c r="T29">
        <v>4</v>
      </c>
      <c r="U29">
        <v>6</v>
      </c>
    </row>
    <row r="30" spans="1:21" x14ac:dyDescent="0.3">
      <c r="A30">
        <v>29</v>
      </c>
      <c r="B30" t="s">
        <v>7</v>
      </c>
      <c r="C30" t="str">
        <f t="shared" si="1"/>
        <v>02-Jan-2011</v>
      </c>
      <c r="D30">
        <v>1</v>
      </c>
      <c r="E30">
        <v>0</v>
      </c>
      <c r="F30">
        <v>1</v>
      </c>
      <c r="G30" t="str">
        <f t="shared" si="0"/>
        <v>Jan</v>
      </c>
      <c r="H30">
        <v>4</v>
      </c>
      <c r="I30">
        <f t="shared" si="2"/>
        <v>0</v>
      </c>
      <c r="J30" t="s">
        <v>125</v>
      </c>
      <c r="K30">
        <v>0</v>
      </c>
      <c r="L30" t="str">
        <f t="shared" si="3"/>
        <v>Weekend</v>
      </c>
      <c r="M30">
        <v>2</v>
      </c>
      <c r="N30" t="str" cm="1">
        <f t="array" ref="N30">_xlfn.IFS(M30=1,"Sunny Day",M30=2,"Cloudy Day",M30=3,"Rainy Day",M30=4,"Heavy Rain")</f>
        <v>Cloudy Day</v>
      </c>
      <c r="O30">
        <v>0.46</v>
      </c>
      <c r="P30" t="s">
        <v>5</v>
      </c>
      <c r="Q30">
        <v>0.94</v>
      </c>
      <c r="R30">
        <v>0.19400000000000001</v>
      </c>
      <c r="S30">
        <v>2</v>
      </c>
      <c r="T30">
        <v>1</v>
      </c>
      <c r="U30">
        <v>3</v>
      </c>
    </row>
    <row r="31" spans="1:21" x14ac:dyDescent="0.3">
      <c r="A31">
        <v>30</v>
      </c>
      <c r="B31" t="s">
        <v>7</v>
      </c>
      <c r="C31" t="str">
        <f t="shared" si="1"/>
        <v>02-Jan-2011</v>
      </c>
      <c r="D31">
        <v>1</v>
      </c>
      <c r="E31">
        <v>0</v>
      </c>
      <c r="F31">
        <v>1</v>
      </c>
      <c r="G31" t="str">
        <f t="shared" si="0"/>
        <v>Jan</v>
      </c>
      <c r="H31">
        <v>6</v>
      </c>
      <c r="I31">
        <f t="shared" si="2"/>
        <v>0</v>
      </c>
      <c r="J31" t="s">
        <v>125</v>
      </c>
      <c r="K31">
        <v>0</v>
      </c>
      <c r="L31" t="str">
        <f t="shared" si="3"/>
        <v>Weekend</v>
      </c>
      <c r="M31">
        <v>3</v>
      </c>
      <c r="N31" t="str" cm="1">
        <f t="array" ref="N31">_xlfn.IFS(M31=1,"Sunny Day",M31=2,"Cloudy Day",M31=3,"Rainy Day",M31=4,"Heavy Rain")</f>
        <v>Rainy Day</v>
      </c>
      <c r="O31">
        <v>0.42</v>
      </c>
      <c r="P31">
        <v>0.42420000000000002</v>
      </c>
      <c r="Q31">
        <v>0.77</v>
      </c>
      <c r="R31">
        <v>0.29849999999999999</v>
      </c>
      <c r="S31">
        <v>0</v>
      </c>
      <c r="T31">
        <v>2</v>
      </c>
      <c r="U31">
        <v>2</v>
      </c>
    </row>
    <row r="32" spans="1:21" x14ac:dyDescent="0.3">
      <c r="A32">
        <v>31</v>
      </c>
      <c r="B32" t="s">
        <v>7</v>
      </c>
      <c r="C32" t="str">
        <f t="shared" si="1"/>
        <v>02-Jan-2011</v>
      </c>
      <c r="D32">
        <v>1</v>
      </c>
      <c r="E32">
        <v>0</v>
      </c>
      <c r="F32">
        <v>1</v>
      </c>
      <c r="G32" t="str">
        <f t="shared" si="0"/>
        <v>Jan</v>
      </c>
      <c r="H32">
        <v>7</v>
      </c>
      <c r="I32">
        <f t="shared" si="2"/>
        <v>0</v>
      </c>
      <c r="J32" t="s">
        <v>125</v>
      </c>
      <c r="K32">
        <v>0</v>
      </c>
      <c r="L32" t="str">
        <f t="shared" si="3"/>
        <v>Weekend</v>
      </c>
      <c r="M32">
        <v>2</v>
      </c>
      <c r="N32" t="str" cm="1">
        <f t="array" ref="N32">_xlfn.IFS(M32=1,"Sunny Day",M32=2,"Cloudy Day",M32=3,"Rainy Day",M32=4,"Heavy Rain")</f>
        <v>Cloudy Day</v>
      </c>
      <c r="O32">
        <v>0.4</v>
      </c>
      <c r="P32">
        <v>0.40910000000000002</v>
      </c>
      <c r="Q32">
        <v>0.76</v>
      </c>
      <c r="R32">
        <v>0.19400000000000001</v>
      </c>
      <c r="S32">
        <v>0</v>
      </c>
      <c r="T32">
        <v>1</v>
      </c>
      <c r="U32">
        <v>1</v>
      </c>
    </row>
    <row r="33" spans="1:21" x14ac:dyDescent="0.3">
      <c r="A33">
        <v>32</v>
      </c>
      <c r="B33" t="s">
        <v>7</v>
      </c>
      <c r="C33" t="str">
        <f t="shared" si="1"/>
        <v>02-Jan-2011</v>
      </c>
      <c r="D33">
        <v>1</v>
      </c>
      <c r="E33">
        <v>0</v>
      </c>
      <c r="F33">
        <v>1</v>
      </c>
      <c r="G33" t="str">
        <f t="shared" si="0"/>
        <v>Jan</v>
      </c>
      <c r="H33">
        <v>8</v>
      </c>
      <c r="I33">
        <f t="shared" si="2"/>
        <v>0</v>
      </c>
      <c r="J33" t="s">
        <v>125</v>
      </c>
      <c r="K33">
        <v>0</v>
      </c>
      <c r="L33" t="str">
        <f t="shared" si="3"/>
        <v>Weekend</v>
      </c>
      <c r="M33">
        <v>3</v>
      </c>
      <c r="N33" t="str" cm="1">
        <f t="array" ref="N33">_xlfn.IFS(M33=1,"Sunny Day",M33=2,"Cloudy Day",M33=3,"Rainy Day",M33=4,"Heavy Rain")</f>
        <v>Rainy Day</v>
      </c>
      <c r="O33">
        <v>0.4</v>
      </c>
      <c r="P33">
        <v>0.40910000000000002</v>
      </c>
      <c r="Q33">
        <v>0.71</v>
      </c>
      <c r="R33">
        <v>0.22389999999999999</v>
      </c>
      <c r="S33">
        <v>0</v>
      </c>
      <c r="T33">
        <v>8</v>
      </c>
      <c r="U33">
        <v>8</v>
      </c>
    </row>
    <row r="34" spans="1:21" x14ac:dyDescent="0.3">
      <c r="A34">
        <v>33</v>
      </c>
      <c r="B34" t="s">
        <v>7</v>
      </c>
      <c r="C34" t="str">
        <f t="shared" si="1"/>
        <v>02-Jan-2011</v>
      </c>
      <c r="D34">
        <v>1</v>
      </c>
      <c r="E34">
        <v>0</v>
      </c>
      <c r="F34">
        <v>1</v>
      </c>
      <c r="G34" t="str">
        <f t="shared" si="0"/>
        <v>Jan</v>
      </c>
      <c r="H34">
        <v>9</v>
      </c>
      <c r="I34">
        <f t="shared" si="2"/>
        <v>0</v>
      </c>
      <c r="J34" t="s">
        <v>125</v>
      </c>
      <c r="K34">
        <v>0</v>
      </c>
      <c r="L34" t="str">
        <f t="shared" si="3"/>
        <v>Weekend</v>
      </c>
      <c r="M34">
        <v>2</v>
      </c>
      <c r="N34" t="str" cm="1">
        <f t="array" ref="N34">_xlfn.IFS(M34=1,"Sunny Day",M34=2,"Cloudy Day",M34=3,"Rainy Day",M34=4,"Heavy Rain")</f>
        <v>Cloudy Day</v>
      </c>
      <c r="O34">
        <v>0.38</v>
      </c>
      <c r="P34" t="s">
        <v>5</v>
      </c>
      <c r="Q34">
        <v>0.76</v>
      </c>
      <c r="R34">
        <v>0.22389999999999999</v>
      </c>
      <c r="S34">
        <v>1</v>
      </c>
      <c r="T34">
        <v>19</v>
      </c>
      <c r="U34">
        <v>20</v>
      </c>
    </row>
    <row r="35" spans="1:21" x14ac:dyDescent="0.3">
      <c r="A35">
        <v>34</v>
      </c>
      <c r="B35" t="s">
        <v>7</v>
      </c>
      <c r="C35" t="str">
        <f t="shared" si="1"/>
        <v>02-Jan-2011</v>
      </c>
      <c r="D35">
        <v>1</v>
      </c>
      <c r="E35">
        <v>0</v>
      </c>
      <c r="F35">
        <v>1</v>
      </c>
      <c r="G35" t="str">
        <f t="shared" si="0"/>
        <v>Jan</v>
      </c>
      <c r="H35">
        <v>10</v>
      </c>
      <c r="I35">
        <f t="shared" si="2"/>
        <v>0</v>
      </c>
      <c r="J35" t="s">
        <v>125</v>
      </c>
      <c r="K35">
        <v>0</v>
      </c>
      <c r="L35" t="str">
        <f t="shared" si="3"/>
        <v>Weekend</v>
      </c>
      <c r="M35">
        <v>2</v>
      </c>
      <c r="N35" t="str" cm="1">
        <f t="array" ref="N35">_xlfn.IFS(M35=1,"Sunny Day",M35=2,"Cloudy Day",M35=3,"Rainy Day",M35=4,"Heavy Rain")</f>
        <v>Cloudy Day</v>
      </c>
      <c r="O35">
        <v>0.36</v>
      </c>
      <c r="P35">
        <v>0.34849999999999998</v>
      </c>
      <c r="Q35">
        <v>0.81</v>
      </c>
      <c r="R35">
        <v>0.22389999999999999</v>
      </c>
      <c r="S35">
        <v>7</v>
      </c>
      <c r="T35">
        <v>46</v>
      </c>
      <c r="U35">
        <v>53</v>
      </c>
    </row>
    <row r="36" spans="1:21" x14ac:dyDescent="0.3">
      <c r="A36">
        <v>35</v>
      </c>
      <c r="B36" t="s">
        <v>7</v>
      </c>
      <c r="C36" t="str">
        <f t="shared" si="1"/>
        <v>02-Jan-2011</v>
      </c>
      <c r="D36">
        <v>1</v>
      </c>
      <c r="E36">
        <v>0</v>
      </c>
      <c r="F36">
        <v>1</v>
      </c>
      <c r="G36" t="str">
        <f t="shared" si="0"/>
        <v>Jan</v>
      </c>
      <c r="H36">
        <v>11</v>
      </c>
      <c r="I36">
        <f t="shared" si="2"/>
        <v>1</v>
      </c>
      <c r="J36" t="s">
        <v>125</v>
      </c>
      <c r="K36">
        <v>0</v>
      </c>
      <c r="L36" t="str">
        <f t="shared" si="3"/>
        <v>Weekend</v>
      </c>
      <c r="M36">
        <v>2</v>
      </c>
      <c r="N36" t="str" cm="1">
        <f t="array" ref="N36">_xlfn.IFS(M36=1,"Sunny Day",M36=2,"Cloudy Day",M36=3,"Rainy Day",M36=4,"Heavy Rain")</f>
        <v>Cloudy Day</v>
      </c>
      <c r="O36">
        <v>0.36</v>
      </c>
      <c r="P36">
        <v>0.33329999999999999</v>
      </c>
      <c r="Q36">
        <v>0.71</v>
      </c>
      <c r="R36">
        <v>0.25369999999999998</v>
      </c>
      <c r="S36">
        <v>16</v>
      </c>
      <c r="T36">
        <v>54</v>
      </c>
      <c r="U36">
        <v>70</v>
      </c>
    </row>
    <row r="37" spans="1:21" x14ac:dyDescent="0.3">
      <c r="A37">
        <v>36</v>
      </c>
      <c r="B37" t="s">
        <v>7</v>
      </c>
      <c r="C37" t="str">
        <f t="shared" si="1"/>
        <v>02-Jan-2011</v>
      </c>
      <c r="D37">
        <v>1</v>
      </c>
      <c r="E37">
        <v>0</v>
      </c>
      <c r="F37">
        <v>1</v>
      </c>
      <c r="G37" t="str">
        <f t="shared" si="0"/>
        <v>Jan</v>
      </c>
      <c r="H37">
        <v>12</v>
      </c>
      <c r="I37">
        <f t="shared" si="2"/>
        <v>1</v>
      </c>
      <c r="J37" t="s">
        <v>125</v>
      </c>
      <c r="K37">
        <v>0</v>
      </c>
      <c r="L37" t="str">
        <f t="shared" si="3"/>
        <v>Weekend</v>
      </c>
      <c r="M37">
        <v>2</v>
      </c>
      <c r="N37" t="str" cm="1">
        <f t="array" ref="N37">_xlfn.IFS(M37=1,"Sunny Day",M37=2,"Cloudy Day",M37=3,"Rainy Day",M37=4,"Heavy Rain")</f>
        <v>Cloudy Day</v>
      </c>
      <c r="O37">
        <v>0.36</v>
      </c>
      <c r="P37">
        <v>0.33329999999999999</v>
      </c>
      <c r="Q37">
        <v>0.66</v>
      </c>
      <c r="R37">
        <v>0.29849999999999999</v>
      </c>
      <c r="S37">
        <v>20</v>
      </c>
      <c r="T37">
        <v>73</v>
      </c>
      <c r="U37">
        <v>93</v>
      </c>
    </row>
    <row r="38" spans="1:21" x14ac:dyDescent="0.3">
      <c r="A38">
        <v>37</v>
      </c>
      <c r="B38" t="s">
        <v>7</v>
      </c>
      <c r="C38" t="str">
        <f t="shared" si="1"/>
        <v>02-Jan-2011</v>
      </c>
      <c r="D38">
        <v>1</v>
      </c>
      <c r="E38">
        <v>0</v>
      </c>
      <c r="F38">
        <v>1</v>
      </c>
      <c r="G38" t="str">
        <f t="shared" si="0"/>
        <v>Jan</v>
      </c>
      <c r="H38">
        <v>13</v>
      </c>
      <c r="I38">
        <f t="shared" si="2"/>
        <v>1</v>
      </c>
      <c r="J38" t="s">
        <v>125</v>
      </c>
      <c r="K38">
        <v>0</v>
      </c>
      <c r="L38" t="str">
        <f t="shared" si="3"/>
        <v>Weekend</v>
      </c>
      <c r="M38">
        <v>2</v>
      </c>
      <c r="N38" t="str" cm="1">
        <f t="array" ref="N38">_xlfn.IFS(M38=1,"Sunny Day",M38=2,"Cloudy Day",M38=3,"Rainy Day",M38=4,"Heavy Rain")</f>
        <v>Cloudy Day</v>
      </c>
      <c r="O38">
        <v>0.36</v>
      </c>
      <c r="P38">
        <v>0.34849999999999998</v>
      </c>
      <c r="Q38">
        <v>0.66</v>
      </c>
      <c r="R38">
        <v>0.1343</v>
      </c>
      <c r="S38">
        <v>11</v>
      </c>
      <c r="T38">
        <v>64</v>
      </c>
      <c r="U38">
        <v>75</v>
      </c>
    </row>
    <row r="39" spans="1:21" x14ac:dyDescent="0.3">
      <c r="A39">
        <v>38</v>
      </c>
      <c r="B39" t="s">
        <v>7</v>
      </c>
      <c r="C39" t="str">
        <f t="shared" si="1"/>
        <v>02-Jan-2011</v>
      </c>
      <c r="D39">
        <v>1</v>
      </c>
      <c r="E39">
        <v>0</v>
      </c>
      <c r="F39">
        <v>1</v>
      </c>
      <c r="G39" t="str">
        <f t="shared" si="0"/>
        <v>Jan</v>
      </c>
      <c r="H39">
        <v>14</v>
      </c>
      <c r="I39">
        <f t="shared" si="2"/>
        <v>1</v>
      </c>
      <c r="J39" t="s">
        <v>125</v>
      </c>
      <c r="K39">
        <v>0</v>
      </c>
      <c r="L39" t="str">
        <f t="shared" si="3"/>
        <v>Weekend</v>
      </c>
      <c r="M39">
        <v>3</v>
      </c>
      <c r="N39" t="str" cm="1">
        <f t="array" ref="N39">_xlfn.IFS(M39=1,"Sunny Day",M39=2,"Cloudy Day",M39=3,"Rainy Day",M39=4,"Heavy Rain")</f>
        <v>Rainy Day</v>
      </c>
      <c r="O39">
        <v>0.36</v>
      </c>
      <c r="P39" t="s">
        <v>5</v>
      </c>
      <c r="Q39">
        <v>0.76</v>
      </c>
      <c r="R39">
        <v>0.19400000000000001</v>
      </c>
      <c r="S39">
        <v>4</v>
      </c>
      <c r="T39">
        <v>55</v>
      </c>
      <c r="U39">
        <v>59</v>
      </c>
    </row>
    <row r="40" spans="1:21" x14ac:dyDescent="0.3">
      <c r="A40">
        <v>39</v>
      </c>
      <c r="B40" t="s">
        <v>7</v>
      </c>
      <c r="C40" t="str">
        <f t="shared" si="1"/>
        <v>02-Jan-2011</v>
      </c>
      <c r="D40">
        <v>1</v>
      </c>
      <c r="E40">
        <v>0</v>
      </c>
      <c r="F40">
        <v>1</v>
      </c>
      <c r="G40" t="str">
        <f t="shared" si="0"/>
        <v>Jan</v>
      </c>
      <c r="H40">
        <v>15</v>
      </c>
      <c r="I40">
        <f t="shared" si="2"/>
        <v>1</v>
      </c>
      <c r="J40" t="s">
        <v>125</v>
      </c>
      <c r="K40">
        <v>0</v>
      </c>
      <c r="L40" t="str">
        <f t="shared" si="3"/>
        <v>Weekend</v>
      </c>
      <c r="M40">
        <v>3</v>
      </c>
      <c r="N40" t="str" cm="1">
        <f t="array" ref="N40">_xlfn.IFS(M40=1,"Sunny Day",M40=2,"Cloudy Day",M40=3,"Rainy Day",M40=4,"Heavy Rain")</f>
        <v>Rainy Day</v>
      </c>
      <c r="O40">
        <v>0.34</v>
      </c>
      <c r="P40">
        <v>0.33329999999999999</v>
      </c>
      <c r="Q40">
        <v>0.81</v>
      </c>
      <c r="R40">
        <v>0.16420000000000001</v>
      </c>
      <c r="S40">
        <v>19</v>
      </c>
      <c r="T40">
        <v>55</v>
      </c>
      <c r="U40">
        <v>74</v>
      </c>
    </row>
    <row r="41" spans="1:21" x14ac:dyDescent="0.3">
      <c r="A41">
        <v>40</v>
      </c>
      <c r="B41" t="s">
        <v>7</v>
      </c>
      <c r="C41" t="str">
        <f t="shared" si="1"/>
        <v>02-Jan-2011</v>
      </c>
      <c r="D41">
        <v>1</v>
      </c>
      <c r="E41">
        <v>0</v>
      </c>
      <c r="F41">
        <v>1</v>
      </c>
      <c r="G41" t="str">
        <f t="shared" si="0"/>
        <v>Jan</v>
      </c>
      <c r="H41">
        <v>16</v>
      </c>
      <c r="I41">
        <f t="shared" si="2"/>
        <v>1</v>
      </c>
      <c r="J41" t="s">
        <v>125</v>
      </c>
      <c r="K41">
        <v>0</v>
      </c>
      <c r="L41" t="str">
        <f t="shared" si="3"/>
        <v>Weekend</v>
      </c>
      <c r="M41">
        <v>3</v>
      </c>
      <c r="N41" t="str" cm="1">
        <f t="array" ref="N41">_xlfn.IFS(M41=1,"Sunny Day",M41=2,"Cloudy Day",M41=3,"Rainy Day",M41=4,"Heavy Rain")</f>
        <v>Rainy Day</v>
      </c>
      <c r="O41">
        <v>0.34</v>
      </c>
      <c r="P41">
        <v>0.33329999999999999</v>
      </c>
      <c r="Q41">
        <v>0.71</v>
      </c>
      <c r="R41">
        <v>0.16420000000000001</v>
      </c>
      <c r="S41">
        <v>9</v>
      </c>
      <c r="T41">
        <v>67</v>
      </c>
      <c r="U41">
        <v>76</v>
      </c>
    </row>
    <row r="42" spans="1:21" x14ac:dyDescent="0.3">
      <c r="A42">
        <v>41</v>
      </c>
      <c r="B42" t="s">
        <v>7</v>
      </c>
      <c r="C42" t="str">
        <f t="shared" si="1"/>
        <v>02-Jan-2011</v>
      </c>
      <c r="D42">
        <v>1</v>
      </c>
      <c r="E42">
        <v>0</v>
      </c>
      <c r="F42">
        <v>1</v>
      </c>
      <c r="G42" t="str">
        <f t="shared" si="0"/>
        <v>Jan</v>
      </c>
      <c r="H42">
        <v>17</v>
      </c>
      <c r="I42">
        <f t="shared" si="2"/>
        <v>1</v>
      </c>
      <c r="J42" t="s">
        <v>125</v>
      </c>
      <c r="K42">
        <v>0</v>
      </c>
      <c r="L42" t="str">
        <f t="shared" si="3"/>
        <v>Weekend</v>
      </c>
      <c r="M42">
        <v>1</v>
      </c>
      <c r="N42" t="str" cm="1">
        <f t="array" ref="N42">_xlfn.IFS(M42=1,"Sunny Day",M42=2,"Cloudy Day",M42=3,"Rainy Day",M42=4,"Heavy Rain")</f>
        <v>Sunny Day</v>
      </c>
      <c r="O42">
        <v>0.34</v>
      </c>
      <c r="P42">
        <v>0.33329999999999999</v>
      </c>
      <c r="Q42">
        <v>0.56999999999999995</v>
      </c>
      <c r="R42">
        <v>0.19400000000000001</v>
      </c>
      <c r="S42">
        <v>7</v>
      </c>
      <c r="T42">
        <v>58</v>
      </c>
      <c r="U42">
        <v>65</v>
      </c>
    </row>
    <row r="43" spans="1:21" x14ac:dyDescent="0.3">
      <c r="A43">
        <v>42</v>
      </c>
      <c r="B43" t="s">
        <v>7</v>
      </c>
      <c r="C43" t="str">
        <f t="shared" si="1"/>
        <v>02-Jan-2011</v>
      </c>
      <c r="D43">
        <v>1</v>
      </c>
      <c r="E43">
        <v>0</v>
      </c>
      <c r="F43">
        <v>1</v>
      </c>
      <c r="G43" t="str">
        <f t="shared" si="0"/>
        <v>Jan</v>
      </c>
      <c r="H43">
        <v>18</v>
      </c>
      <c r="I43">
        <f t="shared" si="2"/>
        <v>1</v>
      </c>
      <c r="J43" t="s">
        <v>125</v>
      </c>
      <c r="K43">
        <v>0</v>
      </c>
      <c r="L43" t="str">
        <f t="shared" si="3"/>
        <v>Weekend</v>
      </c>
      <c r="M43">
        <v>2</v>
      </c>
      <c r="N43" t="str" cm="1">
        <f t="array" ref="N43">_xlfn.IFS(M43=1,"Sunny Day",M43=2,"Cloudy Day",M43=3,"Rainy Day",M43=4,"Heavy Rain")</f>
        <v>Cloudy Day</v>
      </c>
      <c r="O43">
        <v>0.36</v>
      </c>
      <c r="P43">
        <v>0.33329999999999999</v>
      </c>
      <c r="Q43">
        <v>0.46</v>
      </c>
      <c r="R43">
        <v>0.32840000000000003</v>
      </c>
      <c r="S43">
        <v>10</v>
      </c>
      <c r="T43">
        <v>43</v>
      </c>
      <c r="U43">
        <v>53</v>
      </c>
    </row>
    <row r="44" spans="1:21" x14ac:dyDescent="0.3">
      <c r="A44">
        <v>43</v>
      </c>
      <c r="B44" t="s">
        <v>7</v>
      </c>
      <c r="C44" t="str">
        <f t="shared" si="1"/>
        <v>02-Jan-2011</v>
      </c>
      <c r="D44">
        <v>1</v>
      </c>
      <c r="E44">
        <v>0</v>
      </c>
      <c r="F44">
        <v>1</v>
      </c>
      <c r="G44" t="str">
        <f t="shared" si="0"/>
        <v>Jan</v>
      </c>
      <c r="H44">
        <v>19</v>
      </c>
      <c r="I44">
        <f t="shared" si="2"/>
        <v>1</v>
      </c>
      <c r="J44" t="s">
        <v>125</v>
      </c>
      <c r="K44">
        <v>0</v>
      </c>
      <c r="L44" t="str">
        <f t="shared" si="3"/>
        <v>Weekend</v>
      </c>
      <c r="M44">
        <v>1</v>
      </c>
      <c r="N44" t="str" cm="1">
        <f t="array" ref="N44">_xlfn.IFS(M44=1,"Sunny Day",M44=2,"Cloudy Day",M44=3,"Rainy Day",M44=4,"Heavy Rain")</f>
        <v>Sunny Day</v>
      </c>
      <c r="O44">
        <v>0.32</v>
      </c>
      <c r="P44">
        <v>0.28789999999999999</v>
      </c>
      <c r="Q44">
        <v>0.42</v>
      </c>
      <c r="R44">
        <v>0.44779999999999998</v>
      </c>
      <c r="S44">
        <v>1</v>
      </c>
      <c r="T44">
        <v>29</v>
      </c>
      <c r="U44">
        <v>30</v>
      </c>
    </row>
    <row r="45" spans="1:21" x14ac:dyDescent="0.3">
      <c r="A45">
        <v>44</v>
      </c>
      <c r="B45" t="s">
        <v>7</v>
      </c>
      <c r="C45" t="str">
        <f t="shared" si="1"/>
        <v>02-Jan-2011</v>
      </c>
      <c r="D45">
        <v>1</v>
      </c>
      <c r="E45">
        <v>0</v>
      </c>
      <c r="F45">
        <v>1</v>
      </c>
      <c r="G45" t="str">
        <f t="shared" si="0"/>
        <v>Jan</v>
      </c>
      <c r="H45">
        <v>20</v>
      </c>
      <c r="I45">
        <f t="shared" si="2"/>
        <v>1</v>
      </c>
      <c r="J45" t="s">
        <v>125</v>
      </c>
      <c r="K45">
        <v>0</v>
      </c>
      <c r="L45" t="str">
        <f t="shared" si="3"/>
        <v>Weekend</v>
      </c>
      <c r="M45">
        <v>1</v>
      </c>
      <c r="N45" t="str" cm="1">
        <f t="array" ref="N45">_xlfn.IFS(M45=1,"Sunny Day",M45=2,"Cloudy Day",M45=3,"Rainy Day",M45=4,"Heavy Rain")</f>
        <v>Sunny Day</v>
      </c>
      <c r="O45">
        <v>0.3</v>
      </c>
      <c r="P45" t="s">
        <v>5</v>
      </c>
      <c r="Q45">
        <v>0.39</v>
      </c>
      <c r="R45">
        <v>0.35820000000000002</v>
      </c>
      <c r="S45">
        <v>5</v>
      </c>
      <c r="T45">
        <v>17</v>
      </c>
      <c r="U45">
        <v>22</v>
      </c>
    </row>
    <row r="46" spans="1:21" x14ac:dyDescent="0.3">
      <c r="A46">
        <v>45</v>
      </c>
      <c r="B46" t="s">
        <v>7</v>
      </c>
      <c r="C46" t="str">
        <f t="shared" si="1"/>
        <v>02-Jan-2011</v>
      </c>
      <c r="D46">
        <v>1</v>
      </c>
      <c r="E46">
        <v>0</v>
      </c>
      <c r="F46">
        <v>1</v>
      </c>
      <c r="G46" t="str">
        <f t="shared" si="0"/>
        <v>Jan</v>
      </c>
      <c r="H46">
        <v>21</v>
      </c>
      <c r="I46">
        <f t="shared" si="2"/>
        <v>1</v>
      </c>
      <c r="J46" t="s">
        <v>125</v>
      </c>
      <c r="K46">
        <v>0</v>
      </c>
      <c r="L46" t="str">
        <f t="shared" si="3"/>
        <v>Weekend</v>
      </c>
      <c r="M46">
        <v>1</v>
      </c>
      <c r="N46" t="str" cm="1">
        <f t="array" ref="N46">_xlfn.IFS(M46=1,"Sunny Day",M46=2,"Cloudy Day",M46=3,"Rainy Day",M46=4,"Heavy Rain")</f>
        <v>Sunny Day</v>
      </c>
      <c r="O46">
        <v>0.26</v>
      </c>
      <c r="P46">
        <v>0.2273</v>
      </c>
      <c r="Q46">
        <v>0.44</v>
      </c>
      <c r="R46">
        <v>0.32840000000000003</v>
      </c>
      <c r="S46">
        <v>11</v>
      </c>
      <c r="T46">
        <v>20</v>
      </c>
      <c r="U46">
        <v>31</v>
      </c>
    </row>
    <row r="47" spans="1:21" x14ac:dyDescent="0.3">
      <c r="A47">
        <v>46</v>
      </c>
      <c r="B47" t="s">
        <v>7</v>
      </c>
      <c r="C47" t="str">
        <f t="shared" si="1"/>
        <v>02-Jan-2011</v>
      </c>
      <c r="D47">
        <v>1</v>
      </c>
      <c r="E47">
        <v>0</v>
      </c>
      <c r="F47">
        <v>1</v>
      </c>
      <c r="G47" t="str">
        <f t="shared" si="0"/>
        <v>Jan</v>
      </c>
      <c r="H47">
        <v>22</v>
      </c>
      <c r="I47">
        <f t="shared" si="2"/>
        <v>1</v>
      </c>
      <c r="J47" t="s">
        <v>125</v>
      </c>
      <c r="K47">
        <v>0</v>
      </c>
      <c r="L47" t="str">
        <f t="shared" si="3"/>
        <v>Weekend</v>
      </c>
      <c r="M47">
        <v>1</v>
      </c>
      <c r="N47" t="str" cm="1">
        <f t="array" ref="N47">_xlfn.IFS(M47=1,"Sunny Day",M47=2,"Cloudy Day",M47=3,"Rainy Day",M47=4,"Heavy Rain")</f>
        <v>Sunny Day</v>
      </c>
      <c r="O47">
        <v>0.24</v>
      </c>
      <c r="P47">
        <v>0.21210000000000001</v>
      </c>
      <c r="Q47">
        <v>0.44</v>
      </c>
      <c r="R47">
        <v>0.29849999999999999</v>
      </c>
      <c r="S47">
        <v>0</v>
      </c>
      <c r="T47">
        <v>9</v>
      </c>
      <c r="U47">
        <v>9</v>
      </c>
    </row>
    <row r="48" spans="1:21" x14ac:dyDescent="0.3">
      <c r="A48">
        <v>47</v>
      </c>
      <c r="B48" t="s">
        <v>7</v>
      </c>
      <c r="C48" t="str">
        <f t="shared" si="1"/>
        <v>02-Jan-2011</v>
      </c>
      <c r="D48">
        <v>1</v>
      </c>
      <c r="E48">
        <v>0</v>
      </c>
      <c r="F48">
        <v>1</v>
      </c>
      <c r="G48" t="str">
        <f t="shared" si="0"/>
        <v>Jan</v>
      </c>
      <c r="H48">
        <v>23</v>
      </c>
      <c r="I48">
        <f t="shared" si="2"/>
        <v>1</v>
      </c>
      <c r="J48" t="s">
        <v>125</v>
      </c>
      <c r="K48">
        <v>0</v>
      </c>
      <c r="L48" t="str">
        <f t="shared" si="3"/>
        <v>Weekend</v>
      </c>
      <c r="M48">
        <v>1</v>
      </c>
      <c r="N48" t="str" cm="1">
        <f t="array" ref="N48">_xlfn.IFS(M48=1,"Sunny Day",M48=2,"Cloudy Day",M48=3,"Rainy Day",M48=4,"Heavy Rain")</f>
        <v>Sunny Day</v>
      </c>
      <c r="O48">
        <v>0.22</v>
      </c>
      <c r="P48">
        <v>0.2273</v>
      </c>
      <c r="Q48">
        <v>0.47</v>
      </c>
      <c r="R48">
        <v>0.16420000000000001</v>
      </c>
      <c r="S48">
        <v>0</v>
      </c>
      <c r="T48">
        <v>8</v>
      </c>
      <c r="U48">
        <v>8</v>
      </c>
    </row>
    <row r="49" spans="1:21" x14ac:dyDescent="0.3">
      <c r="A49">
        <v>48</v>
      </c>
      <c r="B49" t="s">
        <v>9</v>
      </c>
      <c r="C49" t="str">
        <f t="shared" si="1"/>
        <v>03-Jan-2011</v>
      </c>
      <c r="D49">
        <v>1</v>
      </c>
      <c r="E49">
        <v>0</v>
      </c>
      <c r="F49">
        <v>1</v>
      </c>
      <c r="G49" t="str">
        <f t="shared" si="0"/>
        <v>Jan</v>
      </c>
      <c r="H49">
        <v>0</v>
      </c>
      <c r="I49">
        <f t="shared" si="2"/>
        <v>0</v>
      </c>
      <c r="J49" t="s">
        <v>126</v>
      </c>
      <c r="K49">
        <v>1</v>
      </c>
      <c r="L49" t="str">
        <f t="shared" si="3"/>
        <v>Weekday</v>
      </c>
      <c r="M49">
        <v>1</v>
      </c>
      <c r="N49" t="str" cm="1">
        <f t="array" ref="N49">_xlfn.IFS(M49=1,"Sunny Day",M49=2,"Cloudy Day",M49=3,"Rainy Day",M49=4,"Heavy Rain")</f>
        <v>Sunny Day</v>
      </c>
      <c r="O49">
        <v>0.22</v>
      </c>
      <c r="P49">
        <v>0.19700000000000001</v>
      </c>
      <c r="Q49">
        <v>0.44</v>
      </c>
      <c r="R49">
        <v>0.35820000000000002</v>
      </c>
      <c r="S49">
        <v>0</v>
      </c>
      <c r="T49">
        <v>5</v>
      </c>
      <c r="U49">
        <v>5</v>
      </c>
    </row>
    <row r="50" spans="1:21" x14ac:dyDescent="0.3">
      <c r="A50">
        <v>49</v>
      </c>
      <c r="B50" t="s">
        <v>9</v>
      </c>
      <c r="C50" t="str">
        <f t="shared" si="1"/>
        <v>03-Jan-2011</v>
      </c>
      <c r="D50">
        <v>1</v>
      </c>
      <c r="E50">
        <v>0</v>
      </c>
      <c r="F50">
        <v>1</v>
      </c>
      <c r="G50" t="str">
        <f t="shared" si="0"/>
        <v>Jan</v>
      </c>
      <c r="H50">
        <v>1</v>
      </c>
      <c r="I50">
        <f t="shared" si="2"/>
        <v>0</v>
      </c>
      <c r="J50" t="s">
        <v>126</v>
      </c>
      <c r="K50">
        <v>1</v>
      </c>
      <c r="L50" t="str">
        <f t="shared" si="3"/>
        <v>Weekday</v>
      </c>
      <c r="M50">
        <v>1</v>
      </c>
      <c r="N50" t="str" cm="1">
        <f t="array" ref="N50">_xlfn.IFS(M50=1,"Sunny Day",M50=2,"Cloudy Day",M50=3,"Rainy Day",M50=4,"Heavy Rain")</f>
        <v>Sunny Day</v>
      </c>
      <c r="O50">
        <v>0.2</v>
      </c>
      <c r="P50" t="s">
        <v>5</v>
      </c>
      <c r="Q50">
        <v>0.44</v>
      </c>
      <c r="R50">
        <v>0.41789999999999999</v>
      </c>
      <c r="S50">
        <v>0</v>
      </c>
      <c r="T50">
        <v>2</v>
      </c>
      <c r="U50">
        <v>2</v>
      </c>
    </row>
    <row r="51" spans="1:21" x14ac:dyDescent="0.3">
      <c r="A51">
        <v>50</v>
      </c>
      <c r="B51" t="s">
        <v>9</v>
      </c>
      <c r="C51" t="str">
        <f t="shared" si="1"/>
        <v>03-Jan-2011</v>
      </c>
      <c r="D51">
        <v>1</v>
      </c>
      <c r="E51">
        <v>0</v>
      </c>
      <c r="F51">
        <v>1</v>
      </c>
      <c r="G51" t="str">
        <f t="shared" si="0"/>
        <v>Jan</v>
      </c>
      <c r="H51">
        <v>4</v>
      </c>
      <c r="I51">
        <f t="shared" si="2"/>
        <v>0</v>
      </c>
      <c r="J51" t="s">
        <v>126</v>
      </c>
      <c r="K51">
        <v>1</v>
      </c>
      <c r="L51" t="str">
        <f t="shared" si="3"/>
        <v>Weekday</v>
      </c>
      <c r="M51">
        <v>1</v>
      </c>
      <c r="N51" t="str" cm="1">
        <f t="array" ref="N51">_xlfn.IFS(M51=1,"Sunny Day",M51=2,"Cloudy Day",M51=3,"Rainy Day",M51=4,"Heavy Rain")</f>
        <v>Sunny Day</v>
      </c>
      <c r="O51">
        <v>0.16</v>
      </c>
      <c r="P51">
        <v>0.13639999999999999</v>
      </c>
      <c r="Q51">
        <v>0.47</v>
      </c>
      <c r="R51">
        <v>0.3881</v>
      </c>
      <c r="S51">
        <v>0</v>
      </c>
      <c r="T51">
        <v>1</v>
      </c>
      <c r="U51">
        <v>1</v>
      </c>
    </row>
    <row r="52" spans="1:21" x14ac:dyDescent="0.3">
      <c r="A52">
        <v>51</v>
      </c>
      <c r="B52" t="s">
        <v>9</v>
      </c>
      <c r="C52" t="str">
        <f t="shared" si="1"/>
        <v>03-Jan-2011</v>
      </c>
      <c r="D52">
        <v>1</v>
      </c>
      <c r="E52">
        <v>0</v>
      </c>
      <c r="F52">
        <v>1</v>
      </c>
      <c r="G52" t="str">
        <f t="shared" si="0"/>
        <v>Jan</v>
      </c>
      <c r="H52">
        <v>5</v>
      </c>
      <c r="I52">
        <f t="shared" si="2"/>
        <v>0</v>
      </c>
      <c r="J52" t="s">
        <v>126</v>
      </c>
      <c r="K52">
        <v>1</v>
      </c>
      <c r="L52" t="str">
        <f t="shared" si="3"/>
        <v>Weekday</v>
      </c>
      <c r="M52">
        <v>1</v>
      </c>
      <c r="N52" t="str" cm="1">
        <f t="array" ref="N52">_xlfn.IFS(M52=1,"Sunny Day",M52=2,"Cloudy Day",M52=3,"Rainy Day",M52=4,"Heavy Rain")</f>
        <v>Sunny Day</v>
      </c>
      <c r="O52">
        <v>0.16</v>
      </c>
      <c r="P52">
        <v>0.13639999999999999</v>
      </c>
      <c r="Q52">
        <v>0.47</v>
      </c>
      <c r="R52">
        <v>0.28360000000000002</v>
      </c>
      <c r="S52">
        <v>0</v>
      </c>
      <c r="T52">
        <v>3</v>
      </c>
      <c r="U52">
        <v>3</v>
      </c>
    </row>
    <row r="53" spans="1:21" x14ac:dyDescent="0.3">
      <c r="A53">
        <v>52</v>
      </c>
      <c r="B53" t="s">
        <v>9</v>
      </c>
      <c r="C53" t="str">
        <f t="shared" si="1"/>
        <v>03-Jan-2011</v>
      </c>
      <c r="D53">
        <v>1</v>
      </c>
      <c r="E53">
        <v>0</v>
      </c>
      <c r="F53">
        <v>1</v>
      </c>
      <c r="G53" t="str">
        <f t="shared" si="0"/>
        <v>Jan</v>
      </c>
      <c r="H53">
        <v>6</v>
      </c>
      <c r="I53">
        <f t="shared" si="2"/>
        <v>0</v>
      </c>
      <c r="J53" t="s">
        <v>126</v>
      </c>
      <c r="K53">
        <v>1</v>
      </c>
      <c r="L53" t="str">
        <f t="shared" si="3"/>
        <v>Weekday</v>
      </c>
      <c r="M53">
        <v>1</v>
      </c>
      <c r="N53" t="str" cm="1">
        <f t="array" ref="N53">_xlfn.IFS(M53=1,"Sunny Day",M53=2,"Cloudy Day",M53=3,"Rainy Day",M53=4,"Heavy Rain")</f>
        <v>Sunny Day</v>
      </c>
      <c r="O53">
        <v>0.14000000000000001</v>
      </c>
      <c r="P53">
        <v>0.1061</v>
      </c>
      <c r="Q53">
        <v>0.5</v>
      </c>
      <c r="R53">
        <v>0.3881</v>
      </c>
      <c r="S53">
        <v>0</v>
      </c>
      <c r="T53">
        <v>30</v>
      </c>
      <c r="U53">
        <v>30</v>
      </c>
    </row>
    <row r="54" spans="1:21" x14ac:dyDescent="0.3">
      <c r="A54">
        <v>53</v>
      </c>
      <c r="B54" t="s">
        <v>9</v>
      </c>
      <c r="C54" t="str">
        <f t="shared" si="1"/>
        <v>03-Jan-2011</v>
      </c>
      <c r="D54">
        <v>1</v>
      </c>
      <c r="E54">
        <v>0</v>
      </c>
      <c r="F54">
        <v>1</v>
      </c>
      <c r="G54" t="str">
        <f t="shared" si="0"/>
        <v>Jan</v>
      </c>
      <c r="H54">
        <v>7</v>
      </c>
      <c r="I54">
        <f t="shared" si="2"/>
        <v>0</v>
      </c>
      <c r="J54" t="s">
        <v>126</v>
      </c>
      <c r="K54">
        <v>1</v>
      </c>
      <c r="L54" t="str">
        <f t="shared" si="3"/>
        <v>Weekday</v>
      </c>
      <c r="M54">
        <v>1</v>
      </c>
      <c r="N54" t="str" cm="1">
        <f t="array" ref="N54">_xlfn.IFS(M54=1,"Sunny Day",M54=2,"Cloudy Day",M54=3,"Rainy Day",M54=4,"Heavy Rain")</f>
        <v>Sunny Day</v>
      </c>
      <c r="O54">
        <v>0.14000000000000001</v>
      </c>
      <c r="P54">
        <v>0.13639999999999999</v>
      </c>
      <c r="Q54">
        <v>0.5</v>
      </c>
      <c r="R54">
        <v>0.19400000000000001</v>
      </c>
      <c r="S54">
        <v>1</v>
      </c>
      <c r="T54">
        <v>63</v>
      </c>
      <c r="U54">
        <v>64</v>
      </c>
    </row>
    <row r="55" spans="1:21" x14ac:dyDescent="0.3">
      <c r="A55">
        <v>54</v>
      </c>
      <c r="B55" t="s">
        <v>9</v>
      </c>
      <c r="C55" t="str">
        <f t="shared" si="1"/>
        <v>03-Jan-2011</v>
      </c>
      <c r="D55">
        <v>1</v>
      </c>
      <c r="E55">
        <v>0</v>
      </c>
      <c r="F55">
        <v>1</v>
      </c>
      <c r="G55" t="str">
        <f t="shared" si="0"/>
        <v>Jan</v>
      </c>
      <c r="H55">
        <v>8</v>
      </c>
      <c r="I55">
        <f t="shared" si="2"/>
        <v>0</v>
      </c>
      <c r="J55" t="s">
        <v>126</v>
      </c>
      <c r="K55">
        <v>1</v>
      </c>
      <c r="L55" t="str">
        <f t="shared" si="3"/>
        <v>Weekday</v>
      </c>
      <c r="M55">
        <v>1</v>
      </c>
      <c r="N55" t="str" cm="1">
        <f t="array" ref="N55">_xlfn.IFS(M55=1,"Sunny Day",M55=2,"Cloudy Day",M55=3,"Rainy Day",M55=4,"Heavy Rain")</f>
        <v>Sunny Day</v>
      </c>
      <c r="O55">
        <v>0.14000000000000001</v>
      </c>
      <c r="P55">
        <v>0.1212</v>
      </c>
      <c r="Q55">
        <v>0.5</v>
      </c>
      <c r="R55">
        <v>0.28360000000000002</v>
      </c>
      <c r="S55">
        <v>1</v>
      </c>
      <c r="T55">
        <v>153</v>
      </c>
      <c r="U55">
        <v>154</v>
      </c>
    </row>
    <row r="56" spans="1:21" x14ac:dyDescent="0.3">
      <c r="A56">
        <v>55</v>
      </c>
      <c r="B56" t="s">
        <v>9</v>
      </c>
      <c r="C56" t="str">
        <f t="shared" si="1"/>
        <v>03-Jan-2011</v>
      </c>
      <c r="D56">
        <v>1</v>
      </c>
      <c r="E56">
        <v>0</v>
      </c>
      <c r="F56">
        <v>1</v>
      </c>
      <c r="G56" t="str">
        <f t="shared" si="0"/>
        <v>Jan</v>
      </c>
      <c r="H56">
        <v>9</v>
      </c>
      <c r="I56">
        <f t="shared" si="2"/>
        <v>0</v>
      </c>
      <c r="J56" t="s">
        <v>126</v>
      </c>
      <c r="K56">
        <v>1</v>
      </c>
      <c r="L56" t="str">
        <f t="shared" si="3"/>
        <v>Weekday</v>
      </c>
      <c r="M56">
        <v>1</v>
      </c>
      <c r="N56" t="str" cm="1">
        <f t="array" ref="N56">_xlfn.IFS(M56=1,"Sunny Day",M56=2,"Cloudy Day",M56=3,"Rainy Day",M56=4,"Heavy Rain")</f>
        <v>Sunny Day</v>
      </c>
      <c r="O56">
        <v>0.16</v>
      </c>
      <c r="P56">
        <v>0.13639999999999999</v>
      </c>
      <c r="Q56">
        <v>0.43</v>
      </c>
      <c r="R56">
        <v>0.3881</v>
      </c>
      <c r="S56">
        <v>7</v>
      </c>
      <c r="T56">
        <v>81</v>
      </c>
      <c r="U56">
        <v>88</v>
      </c>
    </row>
    <row r="57" spans="1:21" x14ac:dyDescent="0.3">
      <c r="A57">
        <v>56</v>
      </c>
      <c r="B57" t="s">
        <v>9</v>
      </c>
      <c r="C57" t="str">
        <f t="shared" si="1"/>
        <v>03-Jan-2011</v>
      </c>
      <c r="D57">
        <v>1</v>
      </c>
      <c r="E57">
        <v>0</v>
      </c>
      <c r="F57">
        <v>1</v>
      </c>
      <c r="G57" t="str">
        <f t="shared" si="0"/>
        <v>Jan</v>
      </c>
      <c r="H57">
        <v>10</v>
      </c>
      <c r="I57">
        <f t="shared" si="2"/>
        <v>0</v>
      </c>
      <c r="J57" t="s">
        <v>126</v>
      </c>
      <c r="K57">
        <v>1</v>
      </c>
      <c r="L57" t="str">
        <f t="shared" si="3"/>
        <v>Weekday</v>
      </c>
      <c r="M57">
        <v>1</v>
      </c>
      <c r="N57" t="str" cm="1">
        <f t="array" ref="N57">_xlfn.IFS(M57=1,"Sunny Day",M57=2,"Cloudy Day",M57=3,"Rainy Day",M57=4,"Heavy Rain")</f>
        <v>Sunny Day</v>
      </c>
      <c r="O57">
        <v>0.18</v>
      </c>
      <c r="P57">
        <v>0.16669999999999999</v>
      </c>
      <c r="Q57">
        <v>0.43</v>
      </c>
      <c r="R57">
        <v>0.25369999999999998</v>
      </c>
      <c r="S57">
        <v>11</v>
      </c>
      <c r="T57">
        <v>33</v>
      </c>
      <c r="U57">
        <v>44</v>
      </c>
    </row>
    <row r="58" spans="1:21" x14ac:dyDescent="0.3">
      <c r="A58">
        <v>57</v>
      </c>
      <c r="B58" t="s">
        <v>9</v>
      </c>
      <c r="C58" t="str">
        <f t="shared" si="1"/>
        <v>03-Jan-2011</v>
      </c>
      <c r="D58">
        <v>1</v>
      </c>
      <c r="E58">
        <v>0</v>
      </c>
      <c r="F58">
        <v>1</v>
      </c>
      <c r="G58" t="str">
        <f t="shared" si="0"/>
        <v>Jan</v>
      </c>
      <c r="H58">
        <v>11</v>
      </c>
      <c r="I58">
        <f t="shared" si="2"/>
        <v>1</v>
      </c>
      <c r="J58" t="s">
        <v>126</v>
      </c>
      <c r="K58">
        <v>1</v>
      </c>
      <c r="L58" t="str">
        <f t="shared" si="3"/>
        <v>Weekday</v>
      </c>
      <c r="M58">
        <v>1</v>
      </c>
      <c r="N58" t="str" cm="1">
        <f t="array" ref="N58">_xlfn.IFS(M58=1,"Sunny Day",M58=2,"Cloudy Day",M58=3,"Rainy Day",M58=4,"Heavy Rain")</f>
        <v>Sunny Day</v>
      </c>
      <c r="O58">
        <v>0.2</v>
      </c>
      <c r="P58">
        <v>0.18179999999999999</v>
      </c>
      <c r="Q58">
        <v>0.4</v>
      </c>
      <c r="R58">
        <v>0.32840000000000003</v>
      </c>
      <c r="S58">
        <v>10</v>
      </c>
      <c r="T58">
        <v>41</v>
      </c>
      <c r="U58">
        <v>51</v>
      </c>
    </row>
    <row r="59" spans="1:21" x14ac:dyDescent="0.3">
      <c r="A59">
        <v>58</v>
      </c>
      <c r="B59" t="s">
        <v>9</v>
      </c>
      <c r="C59" t="str">
        <f t="shared" si="1"/>
        <v>03-Jan-2011</v>
      </c>
      <c r="D59">
        <v>1</v>
      </c>
      <c r="E59">
        <v>0</v>
      </c>
      <c r="F59">
        <v>1</v>
      </c>
      <c r="G59" t="str">
        <f t="shared" si="0"/>
        <v>Jan</v>
      </c>
      <c r="H59">
        <v>12</v>
      </c>
      <c r="I59">
        <f t="shared" si="2"/>
        <v>1</v>
      </c>
      <c r="J59" t="s">
        <v>126</v>
      </c>
      <c r="K59">
        <v>1</v>
      </c>
      <c r="L59" t="str">
        <f t="shared" si="3"/>
        <v>Weekday</v>
      </c>
      <c r="M59">
        <v>1</v>
      </c>
      <c r="N59" t="str" cm="1">
        <f t="array" ref="N59">_xlfn.IFS(M59=1,"Sunny Day",M59=2,"Cloudy Day",M59=3,"Rainy Day",M59=4,"Heavy Rain")</f>
        <v>Sunny Day</v>
      </c>
      <c r="O59">
        <v>0.22</v>
      </c>
      <c r="P59">
        <v>0.21210000000000001</v>
      </c>
      <c r="Q59">
        <v>0.35</v>
      </c>
      <c r="R59">
        <v>0.29849999999999999</v>
      </c>
      <c r="S59">
        <v>13</v>
      </c>
      <c r="T59">
        <v>48</v>
      </c>
      <c r="U59">
        <v>61</v>
      </c>
    </row>
    <row r="60" spans="1:21" x14ac:dyDescent="0.3">
      <c r="A60">
        <v>59</v>
      </c>
      <c r="B60" t="s">
        <v>9</v>
      </c>
      <c r="C60" t="str">
        <f t="shared" si="1"/>
        <v>03-Jan-2011</v>
      </c>
      <c r="D60">
        <v>1</v>
      </c>
      <c r="E60">
        <v>0</v>
      </c>
      <c r="F60">
        <v>1</v>
      </c>
      <c r="G60" t="str">
        <f t="shared" si="0"/>
        <v>Jan</v>
      </c>
      <c r="H60">
        <v>13</v>
      </c>
      <c r="I60">
        <f t="shared" si="2"/>
        <v>1</v>
      </c>
      <c r="J60" t="s">
        <v>126</v>
      </c>
      <c r="K60">
        <v>1</v>
      </c>
      <c r="L60" t="str">
        <f t="shared" si="3"/>
        <v>Weekday</v>
      </c>
      <c r="M60">
        <v>1</v>
      </c>
      <c r="N60" t="str" cm="1">
        <f t="array" ref="N60">_xlfn.IFS(M60=1,"Sunny Day",M60=2,"Cloudy Day",M60=3,"Rainy Day",M60=4,"Heavy Rain")</f>
        <v>Sunny Day</v>
      </c>
      <c r="O60">
        <v>0.24</v>
      </c>
      <c r="P60" t="s">
        <v>5</v>
      </c>
      <c r="Q60">
        <v>0.35</v>
      </c>
      <c r="R60">
        <v>0.28360000000000002</v>
      </c>
      <c r="S60">
        <v>8</v>
      </c>
      <c r="T60">
        <v>53</v>
      </c>
      <c r="U60">
        <v>61</v>
      </c>
    </row>
    <row r="61" spans="1:21" x14ac:dyDescent="0.3">
      <c r="A61">
        <v>60</v>
      </c>
      <c r="B61" t="s">
        <v>9</v>
      </c>
      <c r="C61" t="str">
        <f t="shared" si="1"/>
        <v>03-Jan-2011</v>
      </c>
      <c r="D61">
        <v>1</v>
      </c>
      <c r="E61">
        <v>0</v>
      </c>
      <c r="F61">
        <v>1</v>
      </c>
      <c r="G61" t="str">
        <f t="shared" si="0"/>
        <v>Jan</v>
      </c>
      <c r="H61">
        <v>14</v>
      </c>
      <c r="I61">
        <f t="shared" si="2"/>
        <v>1</v>
      </c>
      <c r="J61" t="s">
        <v>126</v>
      </c>
      <c r="K61">
        <v>1</v>
      </c>
      <c r="L61" t="str">
        <f t="shared" si="3"/>
        <v>Weekday</v>
      </c>
      <c r="M61">
        <v>1</v>
      </c>
      <c r="N61" t="str" cm="1">
        <f t="array" ref="N61">_xlfn.IFS(M61=1,"Sunny Day",M61=2,"Cloudy Day",M61=3,"Rainy Day",M61=4,"Heavy Rain")</f>
        <v>Sunny Day</v>
      </c>
      <c r="O61">
        <v>0.26</v>
      </c>
      <c r="P61">
        <v>0.2424</v>
      </c>
      <c r="Q61">
        <v>0.3</v>
      </c>
      <c r="R61">
        <v>0.28360000000000002</v>
      </c>
      <c r="S61">
        <v>11</v>
      </c>
      <c r="T61">
        <v>66</v>
      </c>
      <c r="U61">
        <v>77</v>
      </c>
    </row>
    <row r="62" spans="1:21" x14ac:dyDescent="0.3">
      <c r="A62">
        <v>61</v>
      </c>
      <c r="B62" t="s">
        <v>9</v>
      </c>
      <c r="C62" t="str">
        <f t="shared" si="1"/>
        <v>03-Jan-2011</v>
      </c>
      <c r="D62">
        <v>1</v>
      </c>
      <c r="E62">
        <v>0</v>
      </c>
      <c r="F62">
        <v>1</v>
      </c>
      <c r="G62" t="str">
        <f t="shared" si="0"/>
        <v>Jan</v>
      </c>
      <c r="H62">
        <v>15</v>
      </c>
      <c r="I62">
        <f t="shared" si="2"/>
        <v>1</v>
      </c>
      <c r="J62" t="s">
        <v>126</v>
      </c>
      <c r="K62">
        <v>1</v>
      </c>
      <c r="L62" t="str">
        <f t="shared" si="3"/>
        <v>Weekday</v>
      </c>
      <c r="M62">
        <v>1</v>
      </c>
      <c r="N62" t="str" cm="1">
        <f t="array" ref="N62">_xlfn.IFS(M62=1,"Sunny Day",M62=2,"Cloudy Day",M62=3,"Rainy Day",M62=4,"Heavy Rain")</f>
        <v>Sunny Day</v>
      </c>
      <c r="O62">
        <v>0.26</v>
      </c>
      <c r="P62">
        <v>0.2424</v>
      </c>
      <c r="Q62">
        <v>0.3</v>
      </c>
      <c r="R62">
        <v>0.25369999999999998</v>
      </c>
      <c r="S62">
        <v>14</v>
      </c>
      <c r="T62">
        <v>58</v>
      </c>
      <c r="U62">
        <v>72</v>
      </c>
    </row>
    <row r="63" spans="1:21" x14ac:dyDescent="0.3">
      <c r="A63">
        <v>62</v>
      </c>
      <c r="B63" t="s">
        <v>9</v>
      </c>
      <c r="C63" t="str">
        <f t="shared" si="1"/>
        <v>03-Jan-2011</v>
      </c>
      <c r="D63">
        <v>1</v>
      </c>
      <c r="E63">
        <v>0</v>
      </c>
      <c r="F63">
        <v>1</v>
      </c>
      <c r="G63" t="str">
        <f t="shared" si="0"/>
        <v>Jan</v>
      </c>
      <c r="H63">
        <v>16</v>
      </c>
      <c r="I63">
        <f t="shared" si="2"/>
        <v>1</v>
      </c>
      <c r="J63" t="s">
        <v>126</v>
      </c>
      <c r="K63">
        <v>1</v>
      </c>
      <c r="L63" t="str">
        <f t="shared" si="3"/>
        <v>Weekday</v>
      </c>
      <c r="M63">
        <v>1</v>
      </c>
      <c r="N63" t="str" cm="1">
        <f t="array" ref="N63">_xlfn.IFS(M63=1,"Sunny Day",M63=2,"Cloudy Day",M63=3,"Rainy Day",M63=4,"Heavy Rain")</f>
        <v>Sunny Day</v>
      </c>
      <c r="O63">
        <v>0.26</v>
      </c>
      <c r="P63">
        <v>0.2424</v>
      </c>
      <c r="Q63">
        <v>0.3</v>
      </c>
      <c r="R63">
        <v>0.25369999999999998</v>
      </c>
      <c r="S63">
        <v>9</v>
      </c>
      <c r="T63">
        <v>67</v>
      </c>
      <c r="U63">
        <v>76</v>
      </c>
    </row>
    <row r="64" spans="1:21" x14ac:dyDescent="0.3">
      <c r="A64">
        <v>63</v>
      </c>
      <c r="B64" t="s">
        <v>9</v>
      </c>
      <c r="C64" t="str">
        <f t="shared" si="1"/>
        <v>03-Jan-2011</v>
      </c>
      <c r="D64">
        <v>1</v>
      </c>
      <c r="E64">
        <v>0</v>
      </c>
      <c r="F64">
        <v>1</v>
      </c>
      <c r="G64" t="str">
        <f t="shared" si="0"/>
        <v>Jan</v>
      </c>
      <c r="H64">
        <v>17</v>
      </c>
      <c r="I64">
        <f t="shared" si="2"/>
        <v>1</v>
      </c>
      <c r="J64" t="s">
        <v>126</v>
      </c>
      <c r="K64">
        <v>1</v>
      </c>
      <c r="L64" t="str">
        <f t="shared" si="3"/>
        <v>Weekday</v>
      </c>
      <c r="M64">
        <v>1</v>
      </c>
      <c r="N64" t="str" cm="1">
        <f t="array" ref="N64">_xlfn.IFS(M64=1,"Sunny Day",M64=2,"Cloudy Day",M64=3,"Rainy Day",M64=4,"Heavy Rain")</f>
        <v>Sunny Day</v>
      </c>
      <c r="O64">
        <v>0.24</v>
      </c>
      <c r="P64">
        <v>0.2273</v>
      </c>
      <c r="Q64">
        <v>0.3</v>
      </c>
      <c r="R64">
        <v>0.22389999999999999</v>
      </c>
      <c r="S64">
        <v>11</v>
      </c>
      <c r="T64">
        <v>146</v>
      </c>
      <c r="U64">
        <v>157</v>
      </c>
    </row>
    <row r="65" spans="1:21" x14ac:dyDescent="0.3">
      <c r="A65">
        <v>64</v>
      </c>
      <c r="B65" t="s">
        <v>9</v>
      </c>
      <c r="C65" t="str">
        <f t="shared" si="1"/>
        <v>03-Jan-2011</v>
      </c>
      <c r="D65">
        <v>1</v>
      </c>
      <c r="E65">
        <v>0</v>
      </c>
      <c r="F65">
        <v>1</v>
      </c>
      <c r="G65" t="str">
        <f t="shared" si="0"/>
        <v>Jan</v>
      </c>
      <c r="H65">
        <v>18</v>
      </c>
      <c r="I65">
        <f t="shared" si="2"/>
        <v>1</v>
      </c>
      <c r="J65" t="s">
        <v>126</v>
      </c>
      <c r="K65">
        <v>1</v>
      </c>
      <c r="L65" t="str">
        <f t="shared" si="3"/>
        <v>Weekday</v>
      </c>
      <c r="M65">
        <v>1</v>
      </c>
      <c r="N65" t="str" cm="1">
        <f t="array" ref="N65">_xlfn.IFS(M65=1,"Sunny Day",M65=2,"Cloudy Day",M65=3,"Rainy Day",M65=4,"Heavy Rain")</f>
        <v>Sunny Day</v>
      </c>
      <c r="O65">
        <v>0.24</v>
      </c>
      <c r="P65">
        <v>0.2576</v>
      </c>
      <c r="Q65">
        <v>0.32</v>
      </c>
      <c r="R65">
        <v>0.1045</v>
      </c>
      <c r="S65">
        <v>9</v>
      </c>
      <c r="T65">
        <v>148</v>
      </c>
      <c r="U65">
        <v>157</v>
      </c>
    </row>
    <row r="66" spans="1:21" x14ac:dyDescent="0.3">
      <c r="A66">
        <v>65</v>
      </c>
      <c r="B66" t="s">
        <v>9</v>
      </c>
      <c r="C66" t="str">
        <f t="shared" si="1"/>
        <v>03-Jan-2011</v>
      </c>
      <c r="D66">
        <v>1</v>
      </c>
      <c r="E66">
        <v>0</v>
      </c>
      <c r="F66">
        <v>1</v>
      </c>
      <c r="G66" t="str">
        <f t="shared" ref="G66:G129" si="4">TEXT(C66,"mmm")</f>
        <v>Jan</v>
      </c>
      <c r="H66">
        <v>19</v>
      </c>
      <c r="I66">
        <f t="shared" si="2"/>
        <v>1</v>
      </c>
      <c r="J66" t="s">
        <v>126</v>
      </c>
      <c r="K66">
        <v>1</v>
      </c>
      <c r="L66" t="str">
        <f t="shared" si="3"/>
        <v>Weekday</v>
      </c>
      <c r="M66">
        <v>1</v>
      </c>
      <c r="N66" t="str" cm="1">
        <f t="array" ref="N66">_xlfn.IFS(M66=1,"Sunny Day",M66=2,"Cloudy Day",M66=3,"Rainy Day",M66=4,"Heavy Rain")</f>
        <v>Sunny Day</v>
      </c>
      <c r="O66">
        <v>0.2</v>
      </c>
      <c r="P66">
        <v>0.2576</v>
      </c>
      <c r="Q66">
        <v>0.47</v>
      </c>
      <c r="R66">
        <v>0</v>
      </c>
      <c r="S66">
        <v>8</v>
      </c>
      <c r="T66">
        <v>102</v>
      </c>
      <c r="U66">
        <v>110</v>
      </c>
    </row>
    <row r="67" spans="1:21" x14ac:dyDescent="0.3">
      <c r="A67">
        <v>66</v>
      </c>
      <c r="B67" t="s">
        <v>9</v>
      </c>
      <c r="C67" t="str">
        <f t="shared" ref="C67:C130" si="5">TEXT(DATEVALUE(B67),"dd-mmm-yyyy")</f>
        <v>03-Jan-2011</v>
      </c>
      <c r="D67">
        <v>1</v>
      </c>
      <c r="E67">
        <v>0</v>
      </c>
      <c r="F67">
        <v>1</v>
      </c>
      <c r="G67" t="str">
        <f t="shared" si="4"/>
        <v>Jan</v>
      </c>
      <c r="H67">
        <v>20</v>
      </c>
      <c r="I67">
        <f t="shared" ref="I67:I130" si="6">IF(AND(H67&gt;=0,H67&lt;=10),0,1)</f>
        <v>1</v>
      </c>
      <c r="J67" t="s">
        <v>126</v>
      </c>
      <c r="K67">
        <v>1</v>
      </c>
      <c r="L67" t="str">
        <f t="shared" ref="L67:L130" si="7">IF(AND(K67&gt;=1,K67&lt;=5),"Weekday","Weekend")</f>
        <v>Weekday</v>
      </c>
      <c r="M67">
        <v>1</v>
      </c>
      <c r="N67" t="str" cm="1">
        <f t="array" ref="N67">_xlfn.IFS(M67=1,"Sunny Day",M67=2,"Cloudy Day",M67=3,"Rainy Day",M67=4,"Heavy Rain")</f>
        <v>Sunny Day</v>
      </c>
      <c r="O67">
        <v>0.2</v>
      </c>
      <c r="P67" t="s">
        <v>5</v>
      </c>
      <c r="Q67">
        <v>0.47</v>
      </c>
      <c r="R67">
        <v>0.1045</v>
      </c>
      <c r="S67">
        <v>3</v>
      </c>
      <c r="T67">
        <v>49</v>
      </c>
      <c r="U67">
        <v>52</v>
      </c>
    </row>
    <row r="68" spans="1:21" x14ac:dyDescent="0.3">
      <c r="A68">
        <v>67</v>
      </c>
      <c r="B68" t="s">
        <v>9</v>
      </c>
      <c r="C68" t="str">
        <f t="shared" si="5"/>
        <v>03-Jan-2011</v>
      </c>
      <c r="D68">
        <v>1</v>
      </c>
      <c r="E68">
        <v>0</v>
      </c>
      <c r="F68">
        <v>1</v>
      </c>
      <c r="G68" t="str">
        <f t="shared" si="4"/>
        <v>Jan</v>
      </c>
      <c r="H68">
        <v>21</v>
      </c>
      <c r="I68">
        <f t="shared" si="6"/>
        <v>1</v>
      </c>
      <c r="J68" t="s">
        <v>126</v>
      </c>
      <c r="K68">
        <v>1</v>
      </c>
      <c r="L68" t="str">
        <f t="shared" si="7"/>
        <v>Weekday</v>
      </c>
      <c r="M68">
        <v>1</v>
      </c>
      <c r="N68" t="str" cm="1">
        <f t="array" ref="N68">_xlfn.IFS(M68=1,"Sunny Day",M68=2,"Cloudy Day",M68=3,"Rainy Day",M68=4,"Heavy Rain")</f>
        <v>Sunny Day</v>
      </c>
      <c r="O68">
        <v>0.18</v>
      </c>
      <c r="P68">
        <v>0.19700000000000001</v>
      </c>
      <c r="Q68">
        <v>0.64</v>
      </c>
      <c r="R68">
        <v>0.1343</v>
      </c>
      <c r="S68">
        <v>3</v>
      </c>
      <c r="T68">
        <v>49</v>
      </c>
      <c r="U68">
        <v>52</v>
      </c>
    </row>
    <row r="69" spans="1:21" x14ac:dyDescent="0.3">
      <c r="A69">
        <v>68</v>
      </c>
      <c r="B69" t="s">
        <v>9</v>
      </c>
      <c r="C69" t="str">
        <f t="shared" si="5"/>
        <v>03-Jan-2011</v>
      </c>
      <c r="D69">
        <v>1</v>
      </c>
      <c r="E69">
        <v>0</v>
      </c>
      <c r="F69">
        <v>1</v>
      </c>
      <c r="G69" t="str">
        <f t="shared" si="4"/>
        <v>Jan</v>
      </c>
      <c r="H69">
        <v>22</v>
      </c>
      <c r="I69">
        <f t="shared" si="6"/>
        <v>1</v>
      </c>
      <c r="J69" t="s">
        <v>126</v>
      </c>
      <c r="K69">
        <v>1</v>
      </c>
      <c r="L69" t="str">
        <f t="shared" si="7"/>
        <v>Weekday</v>
      </c>
      <c r="M69">
        <v>1</v>
      </c>
      <c r="N69" t="str" cm="1">
        <f t="array" ref="N69">_xlfn.IFS(M69=1,"Sunny Day",M69=2,"Cloudy Day",M69=3,"Rainy Day",M69=4,"Heavy Rain")</f>
        <v>Sunny Day</v>
      </c>
      <c r="O69">
        <v>0.14000000000000001</v>
      </c>
      <c r="P69">
        <v>0.1515</v>
      </c>
      <c r="Q69">
        <v>0.69</v>
      </c>
      <c r="R69">
        <v>0.1343</v>
      </c>
      <c r="S69">
        <v>0</v>
      </c>
      <c r="T69">
        <v>20</v>
      </c>
      <c r="U69">
        <v>20</v>
      </c>
    </row>
    <row r="70" spans="1:21" x14ac:dyDescent="0.3">
      <c r="A70">
        <v>69</v>
      </c>
      <c r="B70" t="s">
        <v>9</v>
      </c>
      <c r="C70" t="str">
        <f t="shared" si="5"/>
        <v>03-Jan-2011</v>
      </c>
      <c r="D70">
        <v>1</v>
      </c>
      <c r="E70">
        <v>0</v>
      </c>
      <c r="F70">
        <v>1</v>
      </c>
      <c r="G70" t="str">
        <f t="shared" si="4"/>
        <v>Jan</v>
      </c>
      <c r="H70">
        <v>23</v>
      </c>
      <c r="I70">
        <f t="shared" si="6"/>
        <v>1</v>
      </c>
      <c r="J70" t="s">
        <v>126</v>
      </c>
      <c r="K70">
        <v>1</v>
      </c>
      <c r="L70" t="str">
        <f t="shared" si="7"/>
        <v>Weekday</v>
      </c>
      <c r="M70">
        <v>1</v>
      </c>
      <c r="N70" t="str" cm="1">
        <f t="array" ref="N70">_xlfn.IFS(M70=1,"Sunny Day",M70=2,"Cloudy Day",M70=3,"Rainy Day",M70=4,"Heavy Rain")</f>
        <v>Sunny Day</v>
      </c>
      <c r="O70">
        <v>0.18</v>
      </c>
      <c r="P70">
        <v>0.21210000000000001</v>
      </c>
      <c r="Q70">
        <v>0.55000000000000004</v>
      </c>
      <c r="R70">
        <v>0.1045</v>
      </c>
      <c r="S70">
        <v>1</v>
      </c>
      <c r="T70">
        <v>11</v>
      </c>
      <c r="U70">
        <v>12</v>
      </c>
    </row>
    <row r="71" spans="1:21" x14ac:dyDescent="0.3">
      <c r="A71">
        <v>70</v>
      </c>
      <c r="B71" t="s">
        <v>11</v>
      </c>
      <c r="C71" t="str">
        <f t="shared" si="5"/>
        <v>04-Jan-2011</v>
      </c>
      <c r="D71">
        <v>1</v>
      </c>
      <c r="E71">
        <v>0</v>
      </c>
      <c r="F71">
        <v>1</v>
      </c>
      <c r="G71" t="str">
        <f t="shared" si="4"/>
        <v>Jan</v>
      </c>
      <c r="H71">
        <v>0</v>
      </c>
      <c r="I71">
        <f t="shared" si="6"/>
        <v>0</v>
      </c>
      <c r="J71" t="s">
        <v>126</v>
      </c>
      <c r="K71">
        <v>2</v>
      </c>
      <c r="L71" t="str">
        <f t="shared" si="7"/>
        <v>Weekday</v>
      </c>
      <c r="M71">
        <v>1</v>
      </c>
      <c r="N71" t="str" cm="1">
        <f t="array" ref="N71">_xlfn.IFS(M71=1,"Sunny Day",M71=2,"Cloudy Day",M71=3,"Rainy Day",M71=4,"Heavy Rain")</f>
        <v>Sunny Day</v>
      </c>
      <c r="O71">
        <v>0.16</v>
      </c>
      <c r="P71" t="s">
        <v>5</v>
      </c>
      <c r="Q71">
        <v>0.55000000000000004</v>
      </c>
      <c r="R71">
        <v>0.1045</v>
      </c>
      <c r="S71">
        <v>0</v>
      </c>
      <c r="T71">
        <v>5</v>
      </c>
      <c r="U71">
        <v>5</v>
      </c>
    </row>
    <row r="72" spans="1:21" x14ac:dyDescent="0.3">
      <c r="A72">
        <v>71</v>
      </c>
      <c r="B72" t="s">
        <v>11</v>
      </c>
      <c r="C72" t="str">
        <f t="shared" si="5"/>
        <v>04-Jan-2011</v>
      </c>
      <c r="D72">
        <v>1</v>
      </c>
      <c r="E72">
        <v>0</v>
      </c>
      <c r="F72">
        <v>1</v>
      </c>
      <c r="G72" t="str">
        <f t="shared" si="4"/>
        <v>Jan</v>
      </c>
      <c r="H72">
        <v>1</v>
      </c>
      <c r="I72">
        <f t="shared" si="6"/>
        <v>0</v>
      </c>
      <c r="J72" t="s">
        <v>126</v>
      </c>
      <c r="K72">
        <v>2</v>
      </c>
      <c r="L72" t="str">
        <f t="shared" si="7"/>
        <v>Weekday</v>
      </c>
      <c r="M72">
        <v>1</v>
      </c>
      <c r="N72" t="str" cm="1">
        <f t="array" ref="N72">_xlfn.IFS(M72=1,"Sunny Day",M72=2,"Cloudy Day",M72=3,"Rainy Day",M72=4,"Heavy Rain")</f>
        <v>Sunny Day</v>
      </c>
      <c r="O72">
        <v>0.16</v>
      </c>
      <c r="P72">
        <v>0.18179999999999999</v>
      </c>
      <c r="Q72">
        <v>0.59</v>
      </c>
      <c r="R72">
        <v>0.1045</v>
      </c>
      <c r="S72">
        <v>0</v>
      </c>
      <c r="T72">
        <v>2</v>
      </c>
      <c r="U72">
        <v>2</v>
      </c>
    </row>
    <row r="73" spans="1:21" x14ac:dyDescent="0.3">
      <c r="A73">
        <v>72</v>
      </c>
      <c r="B73" t="s">
        <v>11</v>
      </c>
      <c r="C73" t="str">
        <f t="shared" si="5"/>
        <v>04-Jan-2011</v>
      </c>
      <c r="D73">
        <v>1</v>
      </c>
      <c r="E73">
        <v>0</v>
      </c>
      <c r="F73">
        <v>1</v>
      </c>
      <c r="G73" t="str">
        <f t="shared" si="4"/>
        <v>Jan</v>
      </c>
      <c r="H73">
        <v>2</v>
      </c>
      <c r="I73">
        <f t="shared" si="6"/>
        <v>0</v>
      </c>
      <c r="J73" t="s">
        <v>126</v>
      </c>
      <c r="K73">
        <v>2</v>
      </c>
      <c r="L73" t="str">
        <f t="shared" si="7"/>
        <v>Weekday</v>
      </c>
      <c r="M73">
        <v>1</v>
      </c>
      <c r="N73" t="str" cm="1">
        <f t="array" ref="N73">_xlfn.IFS(M73=1,"Sunny Day",M73=2,"Cloudy Day",M73=3,"Rainy Day",M73=4,"Heavy Rain")</f>
        <v>Sunny Day</v>
      </c>
      <c r="O73">
        <v>0.14000000000000001</v>
      </c>
      <c r="P73">
        <v>0.1515</v>
      </c>
      <c r="Q73">
        <v>0.63</v>
      </c>
      <c r="R73">
        <v>0.1343</v>
      </c>
      <c r="S73">
        <v>0</v>
      </c>
      <c r="T73">
        <v>1</v>
      </c>
      <c r="U73">
        <v>1</v>
      </c>
    </row>
    <row r="74" spans="1:21" x14ac:dyDescent="0.3">
      <c r="A74">
        <v>73</v>
      </c>
      <c r="B74" t="s">
        <v>11</v>
      </c>
      <c r="C74" t="str">
        <f t="shared" si="5"/>
        <v>04-Jan-2011</v>
      </c>
      <c r="D74">
        <v>1</v>
      </c>
      <c r="E74">
        <v>0</v>
      </c>
      <c r="F74">
        <v>1</v>
      </c>
      <c r="G74" t="str">
        <f t="shared" si="4"/>
        <v>Jan</v>
      </c>
      <c r="H74">
        <v>4</v>
      </c>
      <c r="I74">
        <f t="shared" si="6"/>
        <v>0</v>
      </c>
      <c r="J74" t="s">
        <v>126</v>
      </c>
      <c r="K74">
        <v>2</v>
      </c>
      <c r="L74" t="str">
        <f t="shared" si="7"/>
        <v>Weekday</v>
      </c>
      <c r="M74">
        <v>1</v>
      </c>
      <c r="N74" t="str" cm="1">
        <f t="array" ref="N74">_xlfn.IFS(M74=1,"Sunny Day",M74=2,"Cloudy Day",M74=3,"Rainy Day",M74=4,"Heavy Rain")</f>
        <v>Sunny Day</v>
      </c>
      <c r="O74">
        <v>0.14000000000000001</v>
      </c>
      <c r="P74">
        <v>0.18179999999999999</v>
      </c>
      <c r="Q74">
        <v>0.63</v>
      </c>
      <c r="R74">
        <v>8.9599999999999999E-2</v>
      </c>
      <c r="S74">
        <v>0</v>
      </c>
      <c r="T74">
        <v>2</v>
      </c>
      <c r="U74">
        <v>2</v>
      </c>
    </row>
    <row r="75" spans="1:21" x14ac:dyDescent="0.3">
      <c r="A75">
        <v>74</v>
      </c>
      <c r="B75" t="s">
        <v>11</v>
      </c>
      <c r="C75" t="str">
        <f t="shared" si="5"/>
        <v>04-Jan-2011</v>
      </c>
      <c r="D75">
        <v>1</v>
      </c>
      <c r="E75">
        <v>0</v>
      </c>
      <c r="F75">
        <v>1</v>
      </c>
      <c r="G75" t="str">
        <f t="shared" si="4"/>
        <v>Jan</v>
      </c>
      <c r="H75">
        <v>5</v>
      </c>
      <c r="I75">
        <f t="shared" si="6"/>
        <v>0</v>
      </c>
      <c r="J75" t="s">
        <v>126</v>
      </c>
      <c r="K75">
        <v>2</v>
      </c>
      <c r="L75" t="str">
        <f t="shared" si="7"/>
        <v>Weekday</v>
      </c>
      <c r="M75">
        <v>1</v>
      </c>
      <c r="N75" t="str" cm="1">
        <f t="array" ref="N75">_xlfn.IFS(M75=1,"Sunny Day",M75=2,"Cloudy Day",M75=3,"Rainy Day",M75=4,"Heavy Rain")</f>
        <v>Sunny Day</v>
      </c>
      <c r="O75">
        <v>0.12</v>
      </c>
      <c r="P75">
        <v>0.1515</v>
      </c>
      <c r="Q75">
        <v>0.68</v>
      </c>
      <c r="R75">
        <v>0.1045</v>
      </c>
      <c r="S75">
        <v>0</v>
      </c>
      <c r="T75">
        <v>4</v>
      </c>
      <c r="U75">
        <v>4</v>
      </c>
    </row>
    <row r="76" spans="1:21" x14ac:dyDescent="0.3">
      <c r="A76">
        <v>75</v>
      </c>
      <c r="B76" t="s">
        <v>11</v>
      </c>
      <c r="C76" t="str">
        <f t="shared" si="5"/>
        <v>04-Jan-2011</v>
      </c>
      <c r="D76">
        <v>1</v>
      </c>
      <c r="E76">
        <v>0</v>
      </c>
      <c r="F76">
        <v>1</v>
      </c>
      <c r="G76" t="str">
        <f t="shared" si="4"/>
        <v>Jan</v>
      </c>
      <c r="H76">
        <v>6</v>
      </c>
      <c r="I76">
        <f t="shared" si="6"/>
        <v>0</v>
      </c>
      <c r="J76" t="s">
        <v>126</v>
      </c>
      <c r="K76">
        <v>2</v>
      </c>
      <c r="L76" t="str">
        <f t="shared" si="7"/>
        <v>Weekday</v>
      </c>
      <c r="M76">
        <v>1</v>
      </c>
      <c r="N76" t="str" cm="1">
        <f t="array" ref="N76">_xlfn.IFS(M76=1,"Sunny Day",M76=2,"Cloudy Day",M76=3,"Rainy Day",M76=4,"Heavy Rain")</f>
        <v>Sunny Day</v>
      </c>
      <c r="O76">
        <v>0.12</v>
      </c>
      <c r="P76">
        <v>0.1515</v>
      </c>
      <c r="Q76">
        <v>0.74</v>
      </c>
      <c r="R76">
        <v>0.1045</v>
      </c>
      <c r="S76">
        <v>0</v>
      </c>
      <c r="T76">
        <v>36</v>
      </c>
      <c r="U76">
        <v>36</v>
      </c>
    </row>
    <row r="77" spans="1:21" x14ac:dyDescent="0.3">
      <c r="A77">
        <v>76</v>
      </c>
      <c r="B77" t="s">
        <v>11</v>
      </c>
      <c r="C77" t="str">
        <f t="shared" si="5"/>
        <v>04-Jan-2011</v>
      </c>
      <c r="D77">
        <v>1</v>
      </c>
      <c r="E77">
        <v>0</v>
      </c>
      <c r="F77">
        <v>1</v>
      </c>
      <c r="G77" t="str">
        <f t="shared" si="4"/>
        <v>Jan</v>
      </c>
      <c r="H77">
        <v>7</v>
      </c>
      <c r="I77">
        <f t="shared" si="6"/>
        <v>0</v>
      </c>
      <c r="J77" t="s">
        <v>126</v>
      </c>
      <c r="K77">
        <v>2</v>
      </c>
      <c r="L77" t="str">
        <f t="shared" si="7"/>
        <v>Weekday</v>
      </c>
      <c r="M77">
        <v>1</v>
      </c>
      <c r="N77" t="str" cm="1">
        <f t="array" ref="N77">_xlfn.IFS(M77=1,"Sunny Day",M77=2,"Cloudy Day",M77=3,"Rainy Day",M77=4,"Heavy Rain")</f>
        <v>Sunny Day</v>
      </c>
      <c r="O77">
        <v>0.12</v>
      </c>
      <c r="P77">
        <v>0.1515</v>
      </c>
      <c r="Q77">
        <v>0.74</v>
      </c>
      <c r="R77">
        <v>0.1343</v>
      </c>
      <c r="S77">
        <v>2</v>
      </c>
      <c r="T77">
        <v>92</v>
      </c>
      <c r="U77">
        <v>94</v>
      </c>
    </row>
    <row r="78" spans="1:21" x14ac:dyDescent="0.3">
      <c r="A78">
        <v>77</v>
      </c>
      <c r="B78" t="s">
        <v>11</v>
      </c>
      <c r="C78" t="str">
        <f t="shared" si="5"/>
        <v>04-Jan-2011</v>
      </c>
      <c r="D78">
        <v>1</v>
      </c>
      <c r="E78">
        <v>0</v>
      </c>
      <c r="F78">
        <v>1</v>
      </c>
      <c r="G78" t="str">
        <f t="shared" si="4"/>
        <v>Jan</v>
      </c>
      <c r="H78">
        <v>8</v>
      </c>
      <c r="I78">
        <f t="shared" si="6"/>
        <v>0</v>
      </c>
      <c r="J78" t="s">
        <v>126</v>
      </c>
      <c r="K78">
        <v>2</v>
      </c>
      <c r="L78" t="str">
        <f t="shared" si="7"/>
        <v>Weekday</v>
      </c>
      <c r="M78">
        <v>1</v>
      </c>
      <c r="N78" t="str" cm="1">
        <f t="array" ref="N78">_xlfn.IFS(M78=1,"Sunny Day",M78=2,"Cloudy Day",M78=3,"Rainy Day",M78=4,"Heavy Rain")</f>
        <v>Sunny Day</v>
      </c>
      <c r="O78">
        <v>0.14000000000000001</v>
      </c>
      <c r="P78">
        <v>0.1515</v>
      </c>
      <c r="Q78">
        <v>0.69</v>
      </c>
      <c r="R78">
        <v>0.16420000000000001</v>
      </c>
      <c r="S78">
        <v>2</v>
      </c>
      <c r="T78">
        <v>177</v>
      </c>
      <c r="U78">
        <v>179</v>
      </c>
    </row>
    <row r="79" spans="1:21" x14ac:dyDescent="0.3">
      <c r="A79">
        <v>78</v>
      </c>
      <c r="B79" t="s">
        <v>11</v>
      </c>
      <c r="C79" t="str">
        <f t="shared" si="5"/>
        <v>04-Jan-2011</v>
      </c>
      <c r="D79">
        <v>1</v>
      </c>
      <c r="E79">
        <v>0</v>
      </c>
      <c r="F79">
        <v>1</v>
      </c>
      <c r="G79" t="str">
        <f t="shared" si="4"/>
        <v>Jan</v>
      </c>
      <c r="H79">
        <v>9</v>
      </c>
      <c r="I79">
        <f t="shared" si="6"/>
        <v>0</v>
      </c>
      <c r="J79" t="s">
        <v>126</v>
      </c>
      <c r="K79">
        <v>2</v>
      </c>
      <c r="L79" t="str">
        <f t="shared" si="7"/>
        <v>Weekday</v>
      </c>
      <c r="M79">
        <v>1</v>
      </c>
      <c r="N79" t="str" cm="1">
        <f t="array" ref="N79">_xlfn.IFS(M79=1,"Sunny Day",M79=2,"Cloudy Day",M79=3,"Rainy Day",M79=4,"Heavy Rain")</f>
        <v>Sunny Day</v>
      </c>
      <c r="O79">
        <v>0.16</v>
      </c>
      <c r="P79">
        <v>0.1515</v>
      </c>
      <c r="Q79">
        <v>0.64</v>
      </c>
      <c r="R79">
        <v>0.22389999999999999</v>
      </c>
      <c r="S79">
        <v>2</v>
      </c>
      <c r="T79">
        <v>98</v>
      </c>
      <c r="U79">
        <v>100</v>
      </c>
    </row>
    <row r="80" spans="1:21" x14ac:dyDescent="0.3">
      <c r="A80">
        <v>79</v>
      </c>
      <c r="B80" t="s">
        <v>11</v>
      </c>
      <c r="C80" t="str">
        <f t="shared" si="5"/>
        <v>04-Jan-2011</v>
      </c>
      <c r="D80">
        <v>1</v>
      </c>
      <c r="E80">
        <v>0</v>
      </c>
      <c r="F80">
        <v>1</v>
      </c>
      <c r="G80" t="str">
        <f t="shared" si="4"/>
        <v>Jan</v>
      </c>
      <c r="H80">
        <v>10</v>
      </c>
      <c r="I80">
        <f t="shared" si="6"/>
        <v>0</v>
      </c>
      <c r="J80" t="s">
        <v>126</v>
      </c>
      <c r="K80">
        <v>2</v>
      </c>
      <c r="L80" t="str">
        <f t="shared" si="7"/>
        <v>Weekday</v>
      </c>
      <c r="M80">
        <v>2</v>
      </c>
      <c r="N80" t="str" cm="1">
        <f t="array" ref="N80">_xlfn.IFS(M80=1,"Sunny Day",M80=2,"Cloudy Day",M80=3,"Rainy Day",M80=4,"Heavy Rain")</f>
        <v>Cloudy Day</v>
      </c>
      <c r="O80">
        <v>0.16</v>
      </c>
      <c r="P80">
        <v>0.13639999999999999</v>
      </c>
      <c r="Q80">
        <v>0.69</v>
      </c>
      <c r="R80">
        <v>0.32840000000000003</v>
      </c>
      <c r="S80">
        <v>5</v>
      </c>
      <c r="T80">
        <v>37</v>
      </c>
      <c r="U80">
        <v>42</v>
      </c>
    </row>
    <row r="81" spans="1:21" x14ac:dyDescent="0.3">
      <c r="A81">
        <v>80</v>
      </c>
      <c r="B81" t="s">
        <v>11</v>
      </c>
      <c r="C81" t="str">
        <f t="shared" si="5"/>
        <v>04-Jan-2011</v>
      </c>
      <c r="D81">
        <v>1</v>
      </c>
      <c r="E81">
        <v>0</v>
      </c>
      <c r="F81">
        <v>1</v>
      </c>
      <c r="G81" t="str">
        <f t="shared" si="4"/>
        <v>Jan</v>
      </c>
      <c r="H81">
        <v>11</v>
      </c>
      <c r="I81">
        <f t="shared" si="6"/>
        <v>1</v>
      </c>
      <c r="J81" t="s">
        <v>126</v>
      </c>
      <c r="K81">
        <v>2</v>
      </c>
      <c r="L81" t="str">
        <f t="shared" si="7"/>
        <v>Weekday</v>
      </c>
      <c r="M81">
        <v>1</v>
      </c>
      <c r="N81" t="str" cm="1">
        <f t="array" ref="N81">_xlfn.IFS(M81=1,"Sunny Day",M81=2,"Cloudy Day",M81=3,"Rainy Day",M81=4,"Heavy Rain")</f>
        <v>Sunny Day</v>
      </c>
      <c r="O81">
        <v>0.22</v>
      </c>
      <c r="P81">
        <v>0.21210000000000001</v>
      </c>
      <c r="Q81">
        <v>0.51</v>
      </c>
      <c r="R81">
        <v>0.29849999999999999</v>
      </c>
      <c r="S81">
        <v>7</v>
      </c>
      <c r="T81">
        <v>50</v>
      </c>
      <c r="U81">
        <v>57</v>
      </c>
    </row>
    <row r="82" spans="1:21" x14ac:dyDescent="0.3">
      <c r="A82">
        <v>81</v>
      </c>
      <c r="B82" t="s">
        <v>11</v>
      </c>
      <c r="C82" t="str">
        <f t="shared" si="5"/>
        <v>04-Jan-2011</v>
      </c>
      <c r="D82">
        <v>1</v>
      </c>
      <c r="E82">
        <v>0</v>
      </c>
      <c r="F82">
        <v>1</v>
      </c>
      <c r="G82" t="str">
        <f t="shared" si="4"/>
        <v>Jan</v>
      </c>
      <c r="H82">
        <v>12</v>
      </c>
      <c r="I82">
        <f t="shared" si="6"/>
        <v>1</v>
      </c>
      <c r="J82" t="s">
        <v>126</v>
      </c>
      <c r="K82">
        <v>2</v>
      </c>
      <c r="L82" t="str">
        <f t="shared" si="7"/>
        <v>Weekday</v>
      </c>
      <c r="M82">
        <v>1</v>
      </c>
      <c r="N82" t="str" cm="1">
        <f t="array" ref="N82">_xlfn.IFS(M82=1,"Sunny Day",M82=2,"Cloudy Day",M82=3,"Rainy Day",M82=4,"Heavy Rain")</f>
        <v>Sunny Day</v>
      </c>
      <c r="O82">
        <v>0.22</v>
      </c>
      <c r="P82">
        <v>0.2273</v>
      </c>
      <c r="Q82">
        <v>0.51</v>
      </c>
      <c r="R82">
        <v>0.16420000000000001</v>
      </c>
      <c r="S82">
        <v>12</v>
      </c>
      <c r="T82">
        <v>66</v>
      </c>
      <c r="U82">
        <v>78</v>
      </c>
    </row>
    <row r="83" spans="1:21" x14ac:dyDescent="0.3">
      <c r="A83">
        <v>82</v>
      </c>
      <c r="B83" t="s">
        <v>11</v>
      </c>
      <c r="C83" t="str">
        <f t="shared" si="5"/>
        <v>04-Jan-2011</v>
      </c>
      <c r="D83">
        <v>1</v>
      </c>
      <c r="E83">
        <v>0</v>
      </c>
      <c r="F83">
        <v>1</v>
      </c>
      <c r="G83" t="str">
        <f t="shared" si="4"/>
        <v>Jan</v>
      </c>
      <c r="H83">
        <v>13</v>
      </c>
      <c r="I83">
        <f t="shared" si="6"/>
        <v>1</v>
      </c>
      <c r="J83" t="s">
        <v>126</v>
      </c>
      <c r="K83">
        <v>2</v>
      </c>
      <c r="L83" t="str">
        <f t="shared" si="7"/>
        <v>Weekday</v>
      </c>
      <c r="M83">
        <v>1</v>
      </c>
      <c r="N83" t="str" cm="1">
        <f t="array" ref="N83">_xlfn.IFS(M83=1,"Sunny Day",M83=2,"Cloudy Day",M83=3,"Rainy Day",M83=4,"Heavy Rain")</f>
        <v>Sunny Day</v>
      </c>
      <c r="O83">
        <v>0.24</v>
      </c>
      <c r="P83">
        <v>0.2273</v>
      </c>
      <c r="Q83">
        <v>0.56000000000000005</v>
      </c>
      <c r="R83">
        <v>0.19400000000000001</v>
      </c>
      <c r="S83">
        <v>18</v>
      </c>
      <c r="T83">
        <v>79</v>
      </c>
      <c r="U83">
        <v>97</v>
      </c>
    </row>
    <row r="84" spans="1:21" x14ac:dyDescent="0.3">
      <c r="A84">
        <v>83</v>
      </c>
      <c r="B84" t="s">
        <v>11</v>
      </c>
      <c r="C84" t="str">
        <f t="shared" si="5"/>
        <v>04-Jan-2011</v>
      </c>
      <c r="D84">
        <v>1</v>
      </c>
      <c r="E84">
        <v>0</v>
      </c>
      <c r="F84">
        <v>1</v>
      </c>
      <c r="G84" t="str">
        <f t="shared" si="4"/>
        <v>Jan</v>
      </c>
      <c r="H84">
        <v>14</v>
      </c>
      <c r="I84">
        <f t="shared" si="6"/>
        <v>1</v>
      </c>
      <c r="J84" t="s">
        <v>126</v>
      </c>
      <c r="K84">
        <v>2</v>
      </c>
      <c r="L84" t="str">
        <f t="shared" si="7"/>
        <v>Weekday</v>
      </c>
      <c r="M84">
        <v>1</v>
      </c>
      <c r="N84" t="str" cm="1">
        <f t="array" ref="N84">_xlfn.IFS(M84=1,"Sunny Day",M84=2,"Cloudy Day",M84=3,"Rainy Day",M84=4,"Heavy Rain")</f>
        <v>Sunny Day</v>
      </c>
      <c r="O84">
        <v>0.26</v>
      </c>
      <c r="P84">
        <v>0.2576</v>
      </c>
      <c r="Q84">
        <v>0.52</v>
      </c>
      <c r="R84">
        <v>0.22389999999999999</v>
      </c>
      <c r="S84">
        <v>9</v>
      </c>
      <c r="T84">
        <v>54</v>
      </c>
      <c r="U84">
        <v>63</v>
      </c>
    </row>
    <row r="85" spans="1:21" x14ac:dyDescent="0.3">
      <c r="A85">
        <v>84</v>
      </c>
      <c r="B85" t="s">
        <v>11</v>
      </c>
      <c r="C85" t="str">
        <f t="shared" si="5"/>
        <v>04-Jan-2011</v>
      </c>
      <c r="D85">
        <v>1</v>
      </c>
      <c r="E85">
        <v>0</v>
      </c>
      <c r="F85">
        <v>1</v>
      </c>
      <c r="G85" t="str">
        <f t="shared" si="4"/>
        <v>Jan</v>
      </c>
      <c r="H85">
        <v>15</v>
      </c>
      <c r="I85">
        <f t="shared" si="6"/>
        <v>1</v>
      </c>
      <c r="J85" t="s">
        <v>126</v>
      </c>
      <c r="K85">
        <v>2</v>
      </c>
      <c r="L85" t="str">
        <f t="shared" si="7"/>
        <v>Weekday</v>
      </c>
      <c r="M85">
        <v>1</v>
      </c>
      <c r="N85" t="str" cm="1">
        <f t="array" ref="N85">_xlfn.IFS(M85=1,"Sunny Day",M85=2,"Cloudy Day",M85=3,"Rainy Day",M85=4,"Heavy Rain")</f>
        <v>Sunny Day</v>
      </c>
      <c r="O85">
        <v>0.28000000000000003</v>
      </c>
      <c r="P85">
        <v>0.2727</v>
      </c>
      <c r="Q85">
        <v>0.52</v>
      </c>
      <c r="R85">
        <v>0.25369999999999998</v>
      </c>
      <c r="S85">
        <v>17</v>
      </c>
      <c r="T85">
        <v>48</v>
      </c>
      <c r="U85">
        <v>65</v>
      </c>
    </row>
    <row r="86" spans="1:21" x14ac:dyDescent="0.3">
      <c r="A86">
        <v>85</v>
      </c>
      <c r="B86" t="s">
        <v>11</v>
      </c>
      <c r="C86" t="str">
        <f t="shared" si="5"/>
        <v>04-Jan-2011</v>
      </c>
      <c r="D86">
        <v>1</v>
      </c>
      <c r="E86">
        <v>0</v>
      </c>
      <c r="F86">
        <v>1</v>
      </c>
      <c r="G86" t="str">
        <f t="shared" si="4"/>
        <v>Jan</v>
      </c>
      <c r="H86">
        <v>16</v>
      </c>
      <c r="I86">
        <f t="shared" si="6"/>
        <v>1</v>
      </c>
      <c r="J86" t="s">
        <v>126</v>
      </c>
      <c r="K86">
        <v>2</v>
      </c>
      <c r="L86" t="str">
        <f t="shared" si="7"/>
        <v>Weekday</v>
      </c>
      <c r="M86">
        <v>1</v>
      </c>
      <c r="N86" t="str" cm="1">
        <f t="array" ref="N86">_xlfn.IFS(M86=1,"Sunny Day",M86=2,"Cloudy Day",M86=3,"Rainy Day",M86=4,"Heavy Rain")</f>
        <v>Sunny Day</v>
      </c>
      <c r="O86">
        <v>0.3</v>
      </c>
      <c r="P86">
        <v>0.28789999999999999</v>
      </c>
      <c r="Q86">
        <v>0.49</v>
      </c>
      <c r="R86">
        <v>0.25369999999999998</v>
      </c>
      <c r="S86">
        <v>15</v>
      </c>
      <c r="T86">
        <v>68</v>
      </c>
      <c r="U86">
        <v>83</v>
      </c>
    </row>
    <row r="87" spans="1:21" x14ac:dyDescent="0.3">
      <c r="A87">
        <v>86</v>
      </c>
      <c r="B87" t="s">
        <v>11</v>
      </c>
      <c r="C87" t="str">
        <f t="shared" si="5"/>
        <v>04-Jan-2011</v>
      </c>
      <c r="D87">
        <v>1</v>
      </c>
      <c r="E87">
        <v>0</v>
      </c>
      <c r="F87">
        <v>1</v>
      </c>
      <c r="G87" t="str">
        <f t="shared" si="4"/>
        <v>Jan</v>
      </c>
      <c r="H87">
        <v>17</v>
      </c>
      <c r="I87">
        <f t="shared" si="6"/>
        <v>1</v>
      </c>
      <c r="J87" t="s">
        <v>126</v>
      </c>
      <c r="K87">
        <v>2</v>
      </c>
      <c r="L87" t="str">
        <f t="shared" si="7"/>
        <v>Weekday</v>
      </c>
      <c r="M87">
        <v>1</v>
      </c>
      <c r="N87" t="str" cm="1">
        <f t="array" ref="N87">_xlfn.IFS(M87=1,"Sunny Day",M87=2,"Cloudy Day",M87=3,"Rainy Day",M87=4,"Heavy Rain")</f>
        <v>Sunny Day</v>
      </c>
      <c r="O87">
        <v>0.28000000000000003</v>
      </c>
      <c r="P87">
        <v>0.2727</v>
      </c>
      <c r="Q87">
        <v>0.48</v>
      </c>
      <c r="R87">
        <v>0.22389999999999999</v>
      </c>
      <c r="S87">
        <v>10</v>
      </c>
      <c r="T87">
        <v>202</v>
      </c>
      <c r="U87">
        <v>212</v>
      </c>
    </row>
    <row r="88" spans="1:21" x14ac:dyDescent="0.3">
      <c r="A88">
        <v>87</v>
      </c>
      <c r="B88" t="s">
        <v>11</v>
      </c>
      <c r="C88" t="str">
        <f t="shared" si="5"/>
        <v>04-Jan-2011</v>
      </c>
      <c r="D88">
        <v>1</v>
      </c>
      <c r="E88">
        <v>0</v>
      </c>
      <c r="F88">
        <v>1</v>
      </c>
      <c r="G88" t="str">
        <f t="shared" si="4"/>
        <v>Jan</v>
      </c>
      <c r="H88">
        <v>18</v>
      </c>
      <c r="I88">
        <f t="shared" si="6"/>
        <v>1</v>
      </c>
      <c r="J88" t="s">
        <v>126</v>
      </c>
      <c r="K88">
        <v>2</v>
      </c>
      <c r="L88" t="str">
        <f t="shared" si="7"/>
        <v>Weekday</v>
      </c>
      <c r="M88">
        <v>1</v>
      </c>
      <c r="N88" t="str" cm="1">
        <f t="array" ref="N88">_xlfn.IFS(M88=1,"Sunny Day",M88=2,"Cloudy Day",M88=3,"Rainy Day",M88=4,"Heavy Rain")</f>
        <v>Sunny Day</v>
      </c>
      <c r="O88">
        <v>0.26</v>
      </c>
      <c r="P88">
        <v>0.2576</v>
      </c>
      <c r="Q88">
        <v>0.48</v>
      </c>
      <c r="R88">
        <v>0.19400000000000001</v>
      </c>
      <c r="S88">
        <v>3</v>
      </c>
      <c r="T88">
        <v>179</v>
      </c>
      <c r="U88">
        <v>182</v>
      </c>
    </row>
    <row r="89" spans="1:21" x14ac:dyDescent="0.3">
      <c r="A89">
        <v>88</v>
      </c>
      <c r="B89" t="s">
        <v>11</v>
      </c>
      <c r="C89" t="str">
        <f t="shared" si="5"/>
        <v>04-Jan-2011</v>
      </c>
      <c r="D89">
        <v>1</v>
      </c>
      <c r="E89">
        <v>0</v>
      </c>
      <c r="F89">
        <v>1</v>
      </c>
      <c r="G89" t="str">
        <f t="shared" si="4"/>
        <v>Jan</v>
      </c>
      <c r="H89">
        <v>19</v>
      </c>
      <c r="I89">
        <f t="shared" si="6"/>
        <v>1</v>
      </c>
      <c r="J89" t="s">
        <v>126</v>
      </c>
      <c r="K89">
        <v>2</v>
      </c>
      <c r="L89" t="str">
        <f t="shared" si="7"/>
        <v>Weekday</v>
      </c>
      <c r="M89">
        <v>1</v>
      </c>
      <c r="N89" t="str" cm="1">
        <f t="array" ref="N89">_xlfn.IFS(M89=1,"Sunny Day",M89=2,"Cloudy Day",M89=3,"Rainy Day",M89=4,"Heavy Rain")</f>
        <v>Sunny Day</v>
      </c>
      <c r="O89">
        <v>0.24</v>
      </c>
      <c r="P89">
        <v>0.2576</v>
      </c>
      <c r="Q89">
        <v>0.48</v>
      </c>
      <c r="R89">
        <v>0.1045</v>
      </c>
      <c r="S89">
        <v>2</v>
      </c>
      <c r="T89">
        <v>110</v>
      </c>
      <c r="U89">
        <v>112</v>
      </c>
    </row>
    <row r="90" spans="1:21" x14ac:dyDescent="0.3">
      <c r="A90">
        <v>89</v>
      </c>
      <c r="B90" t="s">
        <v>11</v>
      </c>
      <c r="C90" t="str">
        <f t="shared" si="5"/>
        <v>04-Jan-2011</v>
      </c>
      <c r="D90">
        <v>1</v>
      </c>
      <c r="E90">
        <v>0</v>
      </c>
      <c r="F90">
        <v>1</v>
      </c>
      <c r="G90" t="str">
        <f t="shared" si="4"/>
        <v>Jan</v>
      </c>
      <c r="H90">
        <v>20</v>
      </c>
      <c r="I90">
        <f t="shared" si="6"/>
        <v>1</v>
      </c>
      <c r="J90" t="s">
        <v>126</v>
      </c>
      <c r="K90">
        <v>2</v>
      </c>
      <c r="L90" t="str">
        <f t="shared" si="7"/>
        <v>Weekday</v>
      </c>
      <c r="M90">
        <v>1</v>
      </c>
      <c r="N90" t="str" cm="1">
        <f t="array" ref="N90">_xlfn.IFS(M90=1,"Sunny Day",M90=2,"Cloudy Day",M90=3,"Rainy Day",M90=4,"Heavy Rain")</f>
        <v>Sunny Day</v>
      </c>
      <c r="O90">
        <v>0.24</v>
      </c>
      <c r="P90">
        <v>0.2576</v>
      </c>
      <c r="Q90">
        <v>0.48</v>
      </c>
      <c r="R90">
        <v>0.1045</v>
      </c>
      <c r="S90">
        <v>1</v>
      </c>
      <c r="T90">
        <v>53</v>
      </c>
      <c r="U90">
        <v>54</v>
      </c>
    </row>
    <row r="91" spans="1:21" x14ac:dyDescent="0.3">
      <c r="A91">
        <v>90</v>
      </c>
      <c r="B91" t="s">
        <v>11</v>
      </c>
      <c r="C91" t="str">
        <f t="shared" si="5"/>
        <v>04-Jan-2011</v>
      </c>
      <c r="D91">
        <v>1</v>
      </c>
      <c r="E91">
        <v>0</v>
      </c>
      <c r="F91">
        <v>1</v>
      </c>
      <c r="G91" t="str">
        <f t="shared" si="4"/>
        <v>Jan</v>
      </c>
      <c r="H91">
        <v>21</v>
      </c>
      <c r="I91">
        <f t="shared" si="6"/>
        <v>1</v>
      </c>
      <c r="J91" t="s">
        <v>126</v>
      </c>
      <c r="K91">
        <v>2</v>
      </c>
      <c r="L91" t="str">
        <f t="shared" si="7"/>
        <v>Weekday</v>
      </c>
      <c r="M91">
        <v>1</v>
      </c>
      <c r="N91" t="str" cm="1">
        <f t="array" ref="N91">_xlfn.IFS(M91=1,"Sunny Day",M91=2,"Cloudy Day",M91=3,"Rainy Day",M91=4,"Heavy Rain")</f>
        <v>Sunny Day</v>
      </c>
      <c r="O91">
        <v>0.22</v>
      </c>
      <c r="P91">
        <v>0.2727</v>
      </c>
      <c r="Q91">
        <v>0.64</v>
      </c>
      <c r="R91">
        <v>0</v>
      </c>
      <c r="S91">
        <v>0</v>
      </c>
      <c r="T91">
        <v>48</v>
      </c>
      <c r="U91">
        <v>48</v>
      </c>
    </row>
    <row r="92" spans="1:21" x14ac:dyDescent="0.3">
      <c r="A92">
        <v>91</v>
      </c>
      <c r="B92" t="s">
        <v>11</v>
      </c>
      <c r="C92" t="str">
        <f t="shared" si="5"/>
        <v>04-Jan-2011</v>
      </c>
      <c r="D92">
        <v>1</v>
      </c>
      <c r="E92">
        <v>0</v>
      </c>
      <c r="F92">
        <v>1</v>
      </c>
      <c r="G92" t="str">
        <f t="shared" si="4"/>
        <v>Jan</v>
      </c>
      <c r="H92">
        <v>22</v>
      </c>
      <c r="I92">
        <f t="shared" si="6"/>
        <v>1</v>
      </c>
      <c r="J92" t="s">
        <v>126</v>
      </c>
      <c r="K92">
        <v>2</v>
      </c>
      <c r="L92" t="str">
        <f t="shared" si="7"/>
        <v>Weekday</v>
      </c>
      <c r="M92">
        <v>1</v>
      </c>
      <c r="N92" t="str" cm="1">
        <f t="array" ref="N92">_xlfn.IFS(M92=1,"Sunny Day",M92=2,"Cloudy Day",M92=3,"Rainy Day",M92=4,"Heavy Rain")</f>
        <v>Sunny Day</v>
      </c>
      <c r="O92">
        <v>0.22</v>
      </c>
      <c r="P92">
        <v>0.2576</v>
      </c>
      <c r="Q92">
        <v>0.64</v>
      </c>
      <c r="R92">
        <v>8.9599999999999999E-2</v>
      </c>
      <c r="S92">
        <v>1</v>
      </c>
      <c r="T92">
        <v>34</v>
      </c>
      <c r="U92">
        <v>35</v>
      </c>
    </row>
    <row r="93" spans="1:21" x14ac:dyDescent="0.3">
      <c r="A93">
        <v>92</v>
      </c>
      <c r="B93" t="s">
        <v>11</v>
      </c>
      <c r="C93" t="str">
        <f t="shared" si="5"/>
        <v>04-Jan-2011</v>
      </c>
      <c r="D93">
        <v>1</v>
      </c>
      <c r="E93">
        <v>0</v>
      </c>
      <c r="F93">
        <v>1</v>
      </c>
      <c r="G93" t="str">
        <f t="shared" si="4"/>
        <v>Jan</v>
      </c>
      <c r="H93">
        <v>23</v>
      </c>
      <c r="I93">
        <f t="shared" si="6"/>
        <v>1</v>
      </c>
      <c r="J93" t="s">
        <v>126</v>
      </c>
      <c r="K93">
        <v>2</v>
      </c>
      <c r="L93" t="str">
        <f t="shared" si="7"/>
        <v>Weekday</v>
      </c>
      <c r="M93">
        <v>1</v>
      </c>
      <c r="N93" t="str" cm="1">
        <f t="array" ref="N93">_xlfn.IFS(M93=1,"Sunny Day",M93=2,"Cloudy Day",M93=3,"Rainy Day",M93=4,"Heavy Rain")</f>
        <v>Sunny Day</v>
      </c>
      <c r="O93">
        <v>0.2</v>
      </c>
      <c r="P93">
        <v>0.2273</v>
      </c>
      <c r="Q93">
        <v>0.69</v>
      </c>
      <c r="R93">
        <v>8.9599999999999999E-2</v>
      </c>
      <c r="S93">
        <v>2</v>
      </c>
      <c r="T93">
        <v>9</v>
      </c>
      <c r="U93">
        <v>11</v>
      </c>
    </row>
    <row r="94" spans="1:21" x14ac:dyDescent="0.3">
      <c r="A94">
        <v>93</v>
      </c>
      <c r="B94" t="s">
        <v>13</v>
      </c>
      <c r="C94" t="str">
        <f t="shared" si="5"/>
        <v>05-Jan-2011</v>
      </c>
      <c r="D94">
        <v>1</v>
      </c>
      <c r="E94">
        <v>0</v>
      </c>
      <c r="F94">
        <v>1</v>
      </c>
      <c r="G94" t="str">
        <f t="shared" si="4"/>
        <v>Jan</v>
      </c>
      <c r="H94">
        <v>0</v>
      </c>
      <c r="I94">
        <f t="shared" si="6"/>
        <v>0</v>
      </c>
      <c r="J94" t="s">
        <v>126</v>
      </c>
      <c r="K94">
        <v>3</v>
      </c>
      <c r="L94" t="str">
        <f t="shared" si="7"/>
        <v>Weekday</v>
      </c>
      <c r="M94">
        <v>1</v>
      </c>
      <c r="N94" t="str" cm="1">
        <f t="array" ref="N94">_xlfn.IFS(M94=1,"Sunny Day",M94=2,"Cloudy Day",M94=3,"Rainy Day",M94=4,"Heavy Rain")</f>
        <v>Sunny Day</v>
      </c>
      <c r="O94">
        <v>0.2</v>
      </c>
      <c r="P94">
        <v>0.2576</v>
      </c>
      <c r="Q94">
        <v>0.64</v>
      </c>
      <c r="R94">
        <v>0</v>
      </c>
      <c r="S94">
        <v>0</v>
      </c>
      <c r="T94">
        <v>6</v>
      </c>
      <c r="U94">
        <v>6</v>
      </c>
    </row>
    <row r="95" spans="1:21" x14ac:dyDescent="0.3">
      <c r="A95">
        <v>94</v>
      </c>
      <c r="B95" t="s">
        <v>13</v>
      </c>
      <c r="C95" t="str">
        <f t="shared" si="5"/>
        <v>05-Jan-2011</v>
      </c>
      <c r="D95">
        <v>1</v>
      </c>
      <c r="E95">
        <v>0</v>
      </c>
      <c r="F95">
        <v>1</v>
      </c>
      <c r="G95" t="str">
        <f t="shared" si="4"/>
        <v>Jan</v>
      </c>
      <c r="H95">
        <v>1</v>
      </c>
      <c r="I95">
        <f t="shared" si="6"/>
        <v>0</v>
      </c>
      <c r="J95" t="s">
        <v>126</v>
      </c>
      <c r="K95">
        <v>3</v>
      </c>
      <c r="L95" t="str">
        <f t="shared" si="7"/>
        <v>Weekday</v>
      </c>
      <c r="M95">
        <v>1</v>
      </c>
      <c r="N95" t="str" cm="1">
        <f t="array" ref="N95">_xlfn.IFS(M95=1,"Sunny Day",M95=2,"Cloudy Day",M95=3,"Rainy Day",M95=4,"Heavy Rain")</f>
        <v>Sunny Day</v>
      </c>
      <c r="O95">
        <v>0.16</v>
      </c>
      <c r="P95">
        <v>0.19700000000000001</v>
      </c>
      <c r="Q95">
        <v>0.74</v>
      </c>
      <c r="R95">
        <v>8.9599999999999999E-2</v>
      </c>
      <c r="S95">
        <v>0</v>
      </c>
      <c r="T95">
        <v>6</v>
      </c>
      <c r="U95">
        <v>6</v>
      </c>
    </row>
    <row r="96" spans="1:21" x14ac:dyDescent="0.3">
      <c r="A96">
        <v>95</v>
      </c>
      <c r="B96" t="s">
        <v>13</v>
      </c>
      <c r="C96" t="str">
        <f t="shared" si="5"/>
        <v>05-Jan-2011</v>
      </c>
      <c r="D96">
        <v>1</v>
      </c>
      <c r="E96">
        <v>0</v>
      </c>
      <c r="F96">
        <v>1</v>
      </c>
      <c r="G96" t="str">
        <f t="shared" si="4"/>
        <v>Jan</v>
      </c>
      <c r="H96">
        <v>2</v>
      </c>
      <c r="I96">
        <f t="shared" si="6"/>
        <v>0</v>
      </c>
      <c r="J96" t="s">
        <v>126</v>
      </c>
      <c r="K96">
        <v>3</v>
      </c>
      <c r="L96" t="str">
        <f t="shared" si="7"/>
        <v>Weekday</v>
      </c>
      <c r="M96">
        <v>1</v>
      </c>
      <c r="N96" t="str" cm="1">
        <f t="array" ref="N96">_xlfn.IFS(M96=1,"Sunny Day",M96=2,"Cloudy Day",M96=3,"Rainy Day",M96=4,"Heavy Rain")</f>
        <v>Sunny Day</v>
      </c>
      <c r="O96">
        <v>0.16</v>
      </c>
      <c r="P96">
        <v>0.19700000000000001</v>
      </c>
      <c r="Q96">
        <v>0.74</v>
      </c>
      <c r="R96">
        <v>8.9599999999999999E-2</v>
      </c>
      <c r="S96">
        <v>0</v>
      </c>
      <c r="T96">
        <v>2</v>
      </c>
      <c r="U96">
        <v>2</v>
      </c>
    </row>
    <row r="97" spans="1:21" x14ac:dyDescent="0.3">
      <c r="A97">
        <v>96</v>
      </c>
      <c r="B97" t="s">
        <v>13</v>
      </c>
      <c r="C97" t="str">
        <f t="shared" si="5"/>
        <v>05-Jan-2011</v>
      </c>
      <c r="D97">
        <v>1</v>
      </c>
      <c r="E97">
        <v>0</v>
      </c>
      <c r="F97">
        <v>1</v>
      </c>
      <c r="G97" t="str">
        <f t="shared" si="4"/>
        <v>Jan</v>
      </c>
      <c r="H97">
        <v>4</v>
      </c>
      <c r="I97">
        <f t="shared" si="6"/>
        <v>0</v>
      </c>
      <c r="J97" t="s">
        <v>126</v>
      </c>
      <c r="K97">
        <v>3</v>
      </c>
      <c r="L97" t="str">
        <f t="shared" si="7"/>
        <v>Weekday</v>
      </c>
      <c r="M97">
        <v>1</v>
      </c>
      <c r="N97" t="str" cm="1">
        <f t="array" ref="N97">_xlfn.IFS(M97=1,"Sunny Day",M97=2,"Cloudy Day",M97=3,"Rainy Day",M97=4,"Heavy Rain")</f>
        <v>Sunny Day</v>
      </c>
      <c r="O97">
        <v>0.24</v>
      </c>
      <c r="P97">
        <v>0.2273</v>
      </c>
      <c r="Q97">
        <v>0.48</v>
      </c>
      <c r="R97">
        <v>0.22389999999999999</v>
      </c>
      <c r="S97">
        <v>0</v>
      </c>
      <c r="T97">
        <v>2</v>
      </c>
      <c r="U97">
        <v>2</v>
      </c>
    </row>
    <row r="98" spans="1:21" x14ac:dyDescent="0.3">
      <c r="A98">
        <v>97</v>
      </c>
      <c r="B98" t="s">
        <v>13</v>
      </c>
      <c r="C98" t="str">
        <f t="shared" si="5"/>
        <v>05-Jan-2011</v>
      </c>
      <c r="D98">
        <v>1</v>
      </c>
      <c r="E98">
        <v>0</v>
      </c>
      <c r="F98">
        <v>1</v>
      </c>
      <c r="G98" t="str">
        <f t="shared" si="4"/>
        <v>Jan</v>
      </c>
      <c r="H98">
        <v>5</v>
      </c>
      <c r="I98">
        <f t="shared" si="6"/>
        <v>0</v>
      </c>
      <c r="J98" t="s">
        <v>126</v>
      </c>
      <c r="K98">
        <v>3</v>
      </c>
      <c r="L98" t="str">
        <f t="shared" si="7"/>
        <v>Weekday</v>
      </c>
      <c r="M98">
        <v>1</v>
      </c>
      <c r="N98" t="str" cm="1">
        <f t="array" ref="N98">_xlfn.IFS(M98=1,"Sunny Day",M98=2,"Cloudy Day",M98=3,"Rainy Day",M98=4,"Heavy Rain")</f>
        <v>Sunny Day</v>
      </c>
      <c r="O98">
        <v>0.22</v>
      </c>
      <c r="P98">
        <v>0.2273</v>
      </c>
      <c r="Q98">
        <v>0.47</v>
      </c>
      <c r="R98">
        <v>0.16420000000000001</v>
      </c>
      <c r="S98">
        <v>0</v>
      </c>
      <c r="T98">
        <v>3</v>
      </c>
      <c r="U98">
        <v>3</v>
      </c>
    </row>
    <row r="99" spans="1:21" x14ac:dyDescent="0.3">
      <c r="A99">
        <v>98</v>
      </c>
      <c r="B99" t="s">
        <v>13</v>
      </c>
      <c r="C99" t="str">
        <f t="shared" si="5"/>
        <v>05-Jan-2011</v>
      </c>
      <c r="D99">
        <v>1</v>
      </c>
      <c r="E99">
        <v>0</v>
      </c>
      <c r="F99">
        <v>1</v>
      </c>
      <c r="G99" t="str">
        <f t="shared" si="4"/>
        <v>Jan</v>
      </c>
      <c r="H99">
        <v>6</v>
      </c>
      <c r="I99">
        <f t="shared" si="6"/>
        <v>0</v>
      </c>
      <c r="J99" t="s">
        <v>126</v>
      </c>
      <c r="K99">
        <v>3</v>
      </c>
      <c r="L99" t="str">
        <f t="shared" si="7"/>
        <v>Weekday</v>
      </c>
      <c r="M99">
        <v>1</v>
      </c>
      <c r="N99" t="str" cm="1">
        <f t="array" ref="N99">_xlfn.IFS(M99=1,"Sunny Day",M99=2,"Cloudy Day",M99=3,"Rainy Day",M99=4,"Heavy Rain")</f>
        <v>Sunny Day</v>
      </c>
      <c r="O99">
        <v>0.2</v>
      </c>
      <c r="P99">
        <v>0.19700000000000001</v>
      </c>
      <c r="Q99">
        <v>0.47</v>
      </c>
      <c r="R99">
        <v>0.22389999999999999</v>
      </c>
      <c r="S99">
        <v>0</v>
      </c>
      <c r="T99">
        <v>33</v>
      </c>
      <c r="U99">
        <v>33</v>
      </c>
    </row>
    <row r="100" spans="1:21" x14ac:dyDescent="0.3">
      <c r="A100">
        <v>99</v>
      </c>
      <c r="B100" t="s">
        <v>13</v>
      </c>
      <c r="C100" t="str">
        <f t="shared" si="5"/>
        <v>05-Jan-2011</v>
      </c>
      <c r="D100">
        <v>1</v>
      </c>
      <c r="E100">
        <v>0</v>
      </c>
      <c r="F100">
        <v>1</v>
      </c>
      <c r="G100" t="str">
        <f t="shared" si="4"/>
        <v>Jan</v>
      </c>
      <c r="H100">
        <v>7</v>
      </c>
      <c r="I100">
        <f t="shared" si="6"/>
        <v>0</v>
      </c>
      <c r="J100" t="s">
        <v>126</v>
      </c>
      <c r="K100">
        <v>3</v>
      </c>
      <c r="L100" t="str">
        <f t="shared" si="7"/>
        <v>Weekday</v>
      </c>
      <c r="M100">
        <v>1</v>
      </c>
      <c r="N100" t="str" cm="1">
        <f t="array" ref="N100">_xlfn.IFS(M100=1,"Sunny Day",M100=2,"Cloudy Day",M100=3,"Rainy Day",M100=4,"Heavy Rain")</f>
        <v>Sunny Day</v>
      </c>
      <c r="O100">
        <v>0.18</v>
      </c>
      <c r="P100">
        <v>0.18179999999999999</v>
      </c>
      <c r="Q100">
        <v>0.43</v>
      </c>
      <c r="R100">
        <v>0.19400000000000001</v>
      </c>
      <c r="S100">
        <v>1</v>
      </c>
      <c r="T100">
        <v>87</v>
      </c>
      <c r="U100">
        <v>88</v>
      </c>
    </row>
    <row r="101" spans="1:21" x14ac:dyDescent="0.3">
      <c r="A101">
        <v>100</v>
      </c>
      <c r="B101" t="s">
        <v>13</v>
      </c>
      <c r="C101" t="str">
        <f t="shared" si="5"/>
        <v>05-Jan-2011</v>
      </c>
      <c r="D101">
        <v>1</v>
      </c>
      <c r="E101">
        <v>0</v>
      </c>
      <c r="F101">
        <v>1</v>
      </c>
      <c r="G101" t="str">
        <f t="shared" si="4"/>
        <v>Jan</v>
      </c>
      <c r="H101">
        <v>8</v>
      </c>
      <c r="I101">
        <f t="shared" si="6"/>
        <v>0</v>
      </c>
      <c r="J101" t="s">
        <v>126</v>
      </c>
      <c r="K101">
        <v>3</v>
      </c>
      <c r="L101" t="str">
        <f t="shared" si="7"/>
        <v>Weekday</v>
      </c>
      <c r="M101">
        <v>1</v>
      </c>
      <c r="N101" t="str" cm="1">
        <f t="array" ref="N101">_xlfn.IFS(M101=1,"Sunny Day",M101=2,"Cloudy Day",M101=3,"Rainy Day",M101=4,"Heavy Rain")</f>
        <v>Sunny Day</v>
      </c>
      <c r="O101">
        <v>0.2</v>
      </c>
      <c r="P101">
        <v>0.18179999999999999</v>
      </c>
      <c r="Q101">
        <v>0.4</v>
      </c>
      <c r="R101">
        <v>0.29849999999999999</v>
      </c>
      <c r="S101">
        <v>3</v>
      </c>
      <c r="T101">
        <v>192</v>
      </c>
      <c r="U101">
        <v>195</v>
      </c>
    </row>
    <row r="102" spans="1:21" x14ac:dyDescent="0.3">
      <c r="A102">
        <v>101</v>
      </c>
      <c r="B102" t="s">
        <v>13</v>
      </c>
      <c r="C102" t="str">
        <f t="shared" si="5"/>
        <v>05-Jan-2011</v>
      </c>
      <c r="D102">
        <v>1</v>
      </c>
      <c r="E102">
        <v>0</v>
      </c>
      <c r="F102">
        <v>1</v>
      </c>
      <c r="G102" t="str">
        <f t="shared" si="4"/>
        <v>Jan</v>
      </c>
      <c r="H102">
        <v>9</v>
      </c>
      <c r="I102">
        <f t="shared" si="6"/>
        <v>0</v>
      </c>
      <c r="J102" t="s">
        <v>126</v>
      </c>
      <c r="K102">
        <v>3</v>
      </c>
      <c r="L102" t="str">
        <f t="shared" si="7"/>
        <v>Weekday</v>
      </c>
      <c r="M102">
        <v>1</v>
      </c>
      <c r="N102" t="str" cm="1">
        <f t="array" ref="N102">_xlfn.IFS(M102=1,"Sunny Day",M102=2,"Cloudy Day",M102=3,"Rainy Day",M102=4,"Heavy Rain")</f>
        <v>Sunny Day</v>
      </c>
      <c r="O102">
        <v>0.22</v>
      </c>
      <c r="P102">
        <v>0.19700000000000001</v>
      </c>
      <c r="Q102">
        <v>0.37</v>
      </c>
      <c r="R102">
        <v>0.32840000000000003</v>
      </c>
      <c r="S102">
        <v>6</v>
      </c>
      <c r="T102">
        <v>109</v>
      </c>
      <c r="U102">
        <v>115</v>
      </c>
    </row>
    <row r="103" spans="1:21" x14ac:dyDescent="0.3">
      <c r="A103">
        <v>102</v>
      </c>
      <c r="B103" t="s">
        <v>13</v>
      </c>
      <c r="C103" t="str">
        <f t="shared" si="5"/>
        <v>05-Jan-2011</v>
      </c>
      <c r="D103">
        <v>1</v>
      </c>
      <c r="E103">
        <v>0</v>
      </c>
      <c r="F103">
        <v>1</v>
      </c>
      <c r="G103" t="str">
        <f t="shared" si="4"/>
        <v>Jan</v>
      </c>
      <c r="H103">
        <v>10</v>
      </c>
      <c r="I103">
        <f t="shared" si="6"/>
        <v>0</v>
      </c>
      <c r="J103" t="s">
        <v>126</v>
      </c>
      <c r="K103">
        <v>3</v>
      </c>
      <c r="L103" t="str">
        <f t="shared" si="7"/>
        <v>Weekday</v>
      </c>
      <c r="M103">
        <v>1</v>
      </c>
      <c r="N103" t="str" cm="1">
        <f t="array" ref="N103">_xlfn.IFS(M103=1,"Sunny Day",M103=2,"Cloudy Day",M103=3,"Rainy Day",M103=4,"Heavy Rain")</f>
        <v>Sunny Day</v>
      </c>
      <c r="O103">
        <v>0.22</v>
      </c>
      <c r="P103">
        <v>0.19700000000000001</v>
      </c>
      <c r="Q103">
        <v>0.37</v>
      </c>
      <c r="R103">
        <v>0.32840000000000003</v>
      </c>
      <c r="S103">
        <v>4</v>
      </c>
      <c r="T103">
        <v>53</v>
      </c>
      <c r="U103">
        <v>57</v>
      </c>
    </row>
    <row r="104" spans="1:21" x14ac:dyDescent="0.3">
      <c r="A104">
        <v>103</v>
      </c>
      <c r="B104" t="s">
        <v>13</v>
      </c>
      <c r="C104" t="str">
        <f t="shared" si="5"/>
        <v>05-Jan-2011</v>
      </c>
      <c r="D104">
        <v>1</v>
      </c>
      <c r="E104">
        <v>0</v>
      </c>
      <c r="F104">
        <v>1</v>
      </c>
      <c r="G104" t="str">
        <f t="shared" si="4"/>
        <v>Jan</v>
      </c>
      <c r="H104">
        <v>11</v>
      </c>
      <c r="I104">
        <f t="shared" si="6"/>
        <v>1</v>
      </c>
      <c r="J104" t="s">
        <v>126</v>
      </c>
      <c r="K104">
        <v>3</v>
      </c>
      <c r="L104" t="str">
        <f t="shared" si="7"/>
        <v>Weekday</v>
      </c>
      <c r="M104">
        <v>1</v>
      </c>
      <c r="N104" t="str" cm="1">
        <f t="array" ref="N104">_xlfn.IFS(M104=1,"Sunny Day",M104=2,"Cloudy Day",M104=3,"Rainy Day",M104=4,"Heavy Rain")</f>
        <v>Sunny Day</v>
      </c>
      <c r="O104">
        <v>0.26</v>
      </c>
      <c r="P104">
        <v>0.2273</v>
      </c>
      <c r="Q104">
        <v>0.33</v>
      </c>
      <c r="R104">
        <v>0.32840000000000003</v>
      </c>
      <c r="S104">
        <v>12</v>
      </c>
      <c r="T104">
        <v>34</v>
      </c>
      <c r="U104">
        <v>46</v>
      </c>
    </row>
    <row r="105" spans="1:21" x14ac:dyDescent="0.3">
      <c r="A105">
        <v>104</v>
      </c>
      <c r="B105" t="s">
        <v>13</v>
      </c>
      <c r="C105" t="str">
        <f t="shared" si="5"/>
        <v>05-Jan-2011</v>
      </c>
      <c r="D105">
        <v>1</v>
      </c>
      <c r="E105">
        <v>0</v>
      </c>
      <c r="F105">
        <v>1</v>
      </c>
      <c r="G105" t="str">
        <f t="shared" si="4"/>
        <v>Jan</v>
      </c>
      <c r="H105">
        <v>12</v>
      </c>
      <c r="I105">
        <f t="shared" si="6"/>
        <v>1</v>
      </c>
      <c r="J105" t="s">
        <v>126</v>
      </c>
      <c r="K105">
        <v>3</v>
      </c>
      <c r="L105" t="str">
        <f t="shared" si="7"/>
        <v>Weekday</v>
      </c>
      <c r="M105">
        <v>1</v>
      </c>
      <c r="N105" t="str" cm="1">
        <f t="array" ref="N105">_xlfn.IFS(M105=1,"Sunny Day",M105=2,"Cloudy Day",M105=3,"Rainy Day",M105=4,"Heavy Rain")</f>
        <v>Sunny Day</v>
      </c>
      <c r="O105">
        <v>0.26</v>
      </c>
      <c r="P105">
        <v>0.2273</v>
      </c>
      <c r="Q105">
        <v>0.33</v>
      </c>
      <c r="R105">
        <v>0.32840000000000003</v>
      </c>
      <c r="S105">
        <v>5</v>
      </c>
      <c r="T105">
        <v>74</v>
      </c>
      <c r="U105">
        <v>79</v>
      </c>
    </row>
    <row r="106" spans="1:21" x14ac:dyDescent="0.3">
      <c r="A106">
        <v>105</v>
      </c>
      <c r="B106" t="s">
        <v>13</v>
      </c>
      <c r="C106" t="str">
        <f t="shared" si="5"/>
        <v>05-Jan-2011</v>
      </c>
      <c r="D106">
        <v>1</v>
      </c>
      <c r="E106">
        <v>0</v>
      </c>
      <c r="F106">
        <v>1</v>
      </c>
      <c r="G106" t="str">
        <f t="shared" si="4"/>
        <v>Jan</v>
      </c>
      <c r="H106">
        <v>13</v>
      </c>
      <c r="I106">
        <f t="shared" si="6"/>
        <v>1</v>
      </c>
      <c r="J106" t="s">
        <v>126</v>
      </c>
      <c r="K106">
        <v>3</v>
      </c>
      <c r="L106" t="str">
        <f t="shared" si="7"/>
        <v>Weekday</v>
      </c>
      <c r="M106">
        <v>1</v>
      </c>
      <c r="N106" t="str" cm="1">
        <f t="array" ref="N106">_xlfn.IFS(M106=1,"Sunny Day",M106=2,"Cloudy Day",M106=3,"Rainy Day",M106=4,"Heavy Rain")</f>
        <v>Sunny Day</v>
      </c>
      <c r="O106">
        <v>0.28000000000000003</v>
      </c>
      <c r="P106">
        <v>0.2576</v>
      </c>
      <c r="Q106">
        <v>0.3</v>
      </c>
      <c r="R106">
        <v>0.29849999999999999</v>
      </c>
      <c r="S106">
        <v>6</v>
      </c>
      <c r="T106">
        <v>65</v>
      </c>
      <c r="U106">
        <v>71</v>
      </c>
    </row>
    <row r="107" spans="1:21" x14ac:dyDescent="0.3">
      <c r="A107">
        <v>106</v>
      </c>
      <c r="B107" t="s">
        <v>13</v>
      </c>
      <c r="C107" t="str">
        <f t="shared" si="5"/>
        <v>05-Jan-2011</v>
      </c>
      <c r="D107">
        <v>1</v>
      </c>
      <c r="E107">
        <v>0</v>
      </c>
      <c r="F107">
        <v>1</v>
      </c>
      <c r="G107" t="str">
        <f t="shared" si="4"/>
        <v>Jan</v>
      </c>
      <c r="H107">
        <v>14</v>
      </c>
      <c r="I107">
        <f t="shared" si="6"/>
        <v>1</v>
      </c>
      <c r="J107" t="s">
        <v>126</v>
      </c>
      <c r="K107">
        <v>3</v>
      </c>
      <c r="L107" t="str">
        <f t="shared" si="7"/>
        <v>Weekday</v>
      </c>
      <c r="M107">
        <v>1</v>
      </c>
      <c r="N107" t="str" cm="1">
        <f t="array" ref="N107">_xlfn.IFS(M107=1,"Sunny Day",M107=2,"Cloudy Day",M107=3,"Rainy Day",M107=4,"Heavy Rain")</f>
        <v>Sunny Day</v>
      </c>
      <c r="O107">
        <v>0.3</v>
      </c>
      <c r="P107">
        <v>0.28789999999999999</v>
      </c>
      <c r="Q107">
        <v>0.28000000000000003</v>
      </c>
      <c r="R107">
        <v>0.19400000000000001</v>
      </c>
      <c r="S107">
        <v>10</v>
      </c>
      <c r="T107">
        <v>52</v>
      </c>
      <c r="U107">
        <v>62</v>
      </c>
    </row>
    <row r="108" spans="1:21" x14ac:dyDescent="0.3">
      <c r="A108">
        <v>107</v>
      </c>
      <c r="B108" t="s">
        <v>13</v>
      </c>
      <c r="C108" t="str">
        <f t="shared" si="5"/>
        <v>05-Jan-2011</v>
      </c>
      <c r="D108">
        <v>1</v>
      </c>
      <c r="E108">
        <v>0</v>
      </c>
      <c r="F108">
        <v>1</v>
      </c>
      <c r="G108" t="str">
        <f t="shared" si="4"/>
        <v>Jan</v>
      </c>
      <c r="H108">
        <v>15</v>
      </c>
      <c r="I108">
        <f t="shared" si="6"/>
        <v>1</v>
      </c>
      <c r="J108" t="s">
        <v>126</v>
      </c>
      <c r="K108">
        <v>3</v>
      </c>
      <c r="L108" t="str">
        <f t="shared" si="7"/>
        <v>Weekday</v>
      </c>
      <c r="M108">
        <v>1</v>
      </c>
      <c r="N108" t="str" cm="1">
        <f t="array" ref="N108">_xlfn.IFS(M108=1,"Sunny Day",M108=2,"Cloudy Day",M108=3,"Rainy Day",M108=4,"Heavy Rain")</f>
        <v>Sunny Day</v>
      </c>
      <c r="O108">
        <v>0.3</v>
      </c>
      <c r="P108">
        <v>0.28789999999999999</v>
      </c>
      <c r="Q108">
        <v>0.28000000000000003</v>
      </c>
      <c r="R108">
        <v>0.19400000000000001</v>
      </c>
      <c r="S108">
        <v>7</v>
      </c>
      <c r="T108">
        <v>55</v>
      </c>
      <c r="U108">
        <v>62</v>
      </c>
    </row>
    <row r="109" spans="1:21" x14ac:dyDescent="0.3">
      <c r="A109">
        <v>108</v>
      </c>
      <c r="B109" t="s">
        <v>13</v>
      </c>
      <c r="C109" t="str">
        <f t="shared" si="5"/>
        <v>05-Jan-2011</v>
      </c>
      <c r="D109">
        <v>1</v>
      </c>
      <c r="E109">
        <v>0</v>
      </c>
      <c r="F109">
        <v>1</v>
      </c>
      <c r="G109" t="str">
        <f t="shared" si="4"/>
        <v>Jan</v>
      </c>
      <c r="H109">
        <v>16</v>
      </c>
      <c r="I109">
        <f t="shared" si="6"/>
        <v>1</v>
      </c>
      <c r="J109" t="s">
        <v>126</v>
      </c>
      <c r="K109">
        <v>3</v>
      </c>
      <c r="L109" t="str">
        <f t="shared" si="7"/>
        <v>Weekday</v>
      </c>
      <c r="M109">
        <v>1</v>
      </c>
      <c r="N109" t="str" cm="1">
        <f t="array" ref="N109">_xlfn.IFS(M109=1,"Sunny Day",M109=2,"Cloudy Day",M109=3,"Rainy Day",M109=4,"Heavy Rain")</f>
        <v>Sunny Day</v>
      </c>
      <c r="O109">
        <v>0.3</v>
      </c>
      <c r="P109">
        <v>0.31819999999999998</v>
      </c>
      <c r="Q109">
        <v>0.28000000000000003</v>
      </c>
      <c r="R109">
        <v>8.9599999999999999E-2</v>
      </c>
      <c r="S109">
        <v>4</v>
      </c>
      <c r="T109">
        <v>85</v>
      </c>
      <c r="U109">
        <v>89</v>
      </c>
    </row>
    <row r="110" spans="1:21" x14ac:dyDescent="0.3">
      <c r="A110">
        <v>109</v>
      </c>
      <c r="B110" t="s">
        <v>13</v>
      </c>
      <c r="C110" t="str">
        <f t="shared" si="5"/>
        <v>05-Jan-2011</v>
      </c>
      <c r="D110">
        <v>1</v>
      </c>
      <c r="E110">
        <v>0</v>
      </c>
      <c r="F110">
        <v>1</v>
      </c>
      <c r="G110" t="str">
        <f t="shared" si="4"/>
        <v>Jan</v>
      </c>
      <c r="H110">
        <v>17</v>
      </c>
      <c r="I110">
        <f t="shared" si="6"/>
        <v>1</v>
      </c>
      <c r="J110" t="s">
        <v>126</v>
      </c>
      <c r="K110">
        <v>3</v>
      </c>
      <c r="L110" t="str">
        <f t="shared" si="7"/>
        <v>Weekday</v>
      </c>
      <c r="M110">
        <v>1</v>
      </c>
      <c r="N110" t="str" cm="1">
        <f t="array" ref="N110">_xlfn.IFS(M110=1,"Sunny Day",M110=2,"Cloudy Day",M110=3,"Rainy Day",M110=4,"Heavy Rain")</f>
        <v>Sunny Day</v>
      </c>
      <c r="O110">
        <v>0.24</v>
      </c>
      <c r="P110">
        <v>0.2273</v>
      </c>
      <c r="Q110">
        <v>0.38</v>
      </c>
      <c r="R110">
        <v>0.19400000000000001</v>
      </c>
      <c r="S110">
        <v>4</v>
      </c>
      <c r="T110">
        <v>186</v>
      </c>
      <c r="U110">
        <v>190</v>
      </c>
    </row>
    <row r="111" spans="1:21" x14ac:dyDescent="0.3">
      <c r="A111">
        <v>110</v>
      </c>
      <c r="B111" t="s">
        <v>13</v>
      </c>
      <c r="C111" t="str">
        <f t="shared" si="5"/>
        <v>05-Jan-2011</v>
      </c>
      <c r="D111">
        <v>1</v>
      </c>
      <c r="E111">
        <v>0</v>
      </c>
      <c r="F111">
        <v>1</v>
      </c>
      <c r="G111" t="str">
        <f t="shared" si="4"/>
        <v>Jan</v>
      </c>
      <c r="H111">
        <v>18</v>
      </c>
      <c r="I111">
        <f t="shared" si="6"/>
        <v>1</v>
      </c>
      <c r="J111" t="s">
        <v>126</v>
      </c>
      <c r="K111">
        <v>3</v>
      </c>
      <c r="L111" t="str">
        <f t="shared" si="7"/>
        <v>Weekday</v>
      </c>
      <c r="M111">
        <v>1</v>
      </c>
      <c r="N111" t="str" cm="1">
        <f t="array" ref="N111">_xlfn.IFS(M111=1,"Sunny Day",M111=2,"Cloudy Day",M111=3,"Rainy Day",M111=4,"Heavy Rain")</f>
        <v>Sunny Day</v>
      </c>
      <c r="O111">
        <v>0.24</v>
      </c>
      <c r="P111">
        <v>0.2424</v>
      </c>
      <c r="Q111">
        <v>0.38</v>
      </c>
      <c r="R111">
        <v>0.1343</v>
      </c>
      <c r="S111">
        <v>3</v>
      </c>
      <c r="T111">
        <v>166</v>
      </c>
      <c r="U111">
        <v>169</v>
      </c>
    </row>
    <row r="112" spans="1:21" x14ac:dyDescent="0.3">
      <c r="A112">
        <v>111</v>
      </c>
      <c r="B112" t="s">
        <v>13</v>
      </c>
      <c r="C112" t="str">
        <f t="shared" si="5"/>
        <v>05-Jan-2011</v>
      </c>
      <c r="D112">
        <v>1</v>
      </c>
      <c r="E112">
        <v>0</v>
      </c>
      <c r="F112">
        <v>1</v>
      </c>
      <c r="G112" t="str">
        <f t="shared" si="4"/>
        <v>Jan</v>
      </c>
      <c r="H112">
        <v>19</v>
      </c>
      <c r="I112">
        <f t="shared" si="6"/>
        <v>1</v>
      </c>
      <c r="J112" t="s">
        <v>126</v>
      </c>
      <c r="K112">
        <v>3</v>
      </c>
      <c r="L112" t="str">
        <f t="shared" si="7"/>
        <v>Weekday</v>
      </c>
      <c r="M112">
        <v>1</v>
      </c>
      <c r="N112" t="str" cm="1">
        <f t="array" ref="N112">_xlfn.IFS(M112=1,"Sunny Day",M112=2,"Cloudy Day",M112=3,"Rainy Day",M112=4,"Heavy Rain")</f>
        <v>Sunny Day</v>
      </c>
      <c r="O112">
        <v>0.24</v>
      </c>
      <c r="P112">
        <v>0.2576</v>
      </c>
      <c r="Q112">
        <v>0.38</v>
      </c>
      <c r="R112">
        <v>0.1045</v>
      </c>
      <c r="S112">
        <v>5</v>
      </c>
      <c r="T112">
        <v>127</v>
      </c>
      <c r="U112">
        <v>132</v>
      </c>
    </row>
    <row r="113" spans="1:21" x14ac:dyDescent="0.3">
      <c r="A113">
        <v>112</v>
      </c>
      <c r="B113" t="s">
        <v>13</v>
      </c>
      <c r="C113" t="str">
        <f t="shared" si="5"/>
        <v>05-Jan-2011</v>
      </c>
      <c r="D113">
        <v>1</v>
      </c>
      <c r="E113">
        <v>0</v>
      </c>
      <c r="F113">
        <v>1</v>
      </c>
      <c r="G113" t="str">
        <f t="shared" si="4"/>
        <v>Jan</v>
      </c>
      <c r="H113">
        <v>20</v>
      </c>
      <c r="I113">
        <f t="shared" si="6"/>
        <v>1</v>
      </c>
      <c r="J113" t="s">
        <v>126</v>
      </c>
      <c r="K113">
        <v>3</v>
      </c>
      <c r="L113" t="str">
        <f t="shared" si="7"/>
        <v>Weekday</v>
      </c>
      <c r="M113">
        <v>1</v>
      </c>
      <c r="N113" t="str" cm="1">
        <f t="array" ref="N113">_xlfn.IFS(M113=1,"Sunny Day",M113=2,"Cloudy Day",M113=3,"Rainy Day",M113=4,"Heavy Rain")</f>
        <v>Sunny Day</v>
      </c>
      <c r="O113">
        <v>0.22</v>
      </c>
      <c r="P113">
        <v>0.2273</v>
      </c>
      <c r="Q113">
        <v>0.47</v>
      </c>
      <c r="R113">
        <v>0.16420000000000001</v>
      </c>
      <c r="S113">
        <v>7</v>
      </c>
      <c r="T113">
        <v>82</v>
      </c>
      <c r="U113">
        <v>89</v>
      </c>
    </row>
    <row r="114" spans="1:21" x14ac:dyDescent="0.3">
      <c r="A114">
        <v>113</v>
      </c>
      <c r="B114" t="s">
        <v>13</v>
      </c>
      <c r="C114" t="str">
        <f t="shared" si="5"/>
        <v>05-Jan-2011</v>
      </c>
      <c r="D114">
        <v>1</v>
      </c>
      <c r="E114">
        <v>0</v>
      </c>
      <c r="F114">
        <v>1</v>
      </c>
      <c r="G114" t="str">
        <f t="shared" si="4"/>
        <v>Jan</v>
      </c>
      <c r="H114">
        <v>21</v>
      </c>
      <c r="I114">
        <f t="shared" si="6"/>
        <v>1</v>
      </c>
      <c r="J114" t="s">
        <v>126</v>
      </c>
      <c r="K114">
        <v>3</v>
      </c>
      <c r="L114" t="str">
        <f t="shared" si="7"/>
        <v>Weekday</v>
      </c>
      <c r="M114">
        <v>1</v>
      </c>
      <c r="N114" t="str" cm="1">
        <f t="array" ref="N114">_xlfn.IFS(M114=1,"Sunny Day",M114=2,"Cloudy Day",M114=3,"Rainy Day",M114=4,"Heavy Rain")</f>
        <v>Sunny Day</v>
      </c>
      <c r="O114">
        <v>0.2</v>
      </c>
      <c r="P114">
        <v>0.19700000000000001</v>
      </c>
      <c r="Q114">
        <v>0.51</v>
      </c>
      <c r="R114">
        <v>0.19400000000000001</v>
      </c>
      <c r="S114">
        <v>3</v>
      </c>
      <c r="T114">
        <v>40</v>
      </c>
      <c r="U114">
        <v>43</v>
      </c>
    </row>
    <row r="115" spans="1:21" x14ac:dyDescent="0.3">
      <c r="A115">
        <v>114</v>
      </c>
      <c r="B115" t="s">
        <v>13</v>
      </c>
      <c r="C115" t="str">
        <f t="shared" si="5"/>
        <v>05-Jan-2011</v>
      </c>
      <c r="D115">
        <v>1</v>
      </c>
      <c r="E115">
        <v>0</v>
      </c>
      <c r="F115">
        <v>1</v>
      </c>
      <c r="G115" t="str">
        <f t="shared" si="4"/>
        <v>Jan</v>
      </c>
      <c r="H115">
        <v>22</v>
      </c>
      <c r="I115">
        <f t="shared" si="6"/>
        <v>1</v>
      </c>
      <c r="J115" t="s">
        <v>126</v>
      </c>
      <c r="K115">
        <v>3</v>
      </c>
      <c r="L115" t="str">
        <f t="shared" si="7"/>
        <v>Weekday</v>
      </c>
      <c r="M115">
        <v>1</v>
      </c>
      <c r="N115" t="str" cm="1">
        <f t="array" ref="N115">_xlfn.IFS(M115=1,"Sunny Day",M115=2,"Cloudy Day",M115=3,"Rainy Day",M115=4,"Heavy Rain")</f>
        <v>Sunny Day</v>
      </c>
      <c r="O115">
        <v>0.18</v>
      </c>
      <c r="P115">
        <v>0.19700000000000001</v>
      </c>
      <c r="Q115">
        <v>0.55000000000000004</v>
      </c>
      <c r="R115">
        <v>0.1343</v>
      </c>
      <c r="S115">
        <v>1</v>
      </c>
      <c r="T115">
        <v>41</v>
      </c>
      <c r="U115">
        <v>42</v>
      </c>
    </row>
    <row r="116" spans="1:21" x14ac:dyDescent="0.3">
      <c r="A116">
        <v>115</v>
      </c>
      <c r="B116" t="s">
        <v>13</v>
      </c>
      <c r="C116" t="str">
        <f t="shared" si="5"/>
        <v>05-Jan-2011</v>
      </c>
      <c r="D116">
        <v>1</v>
      </c>
      <c r="E116">
        <v>0</v>
      </c>
      <c r="F116">
        <v>1</v>
      </c>
      <c r="G116" t="str">
        <f t="shared" si="4"/>
        <v>Jan</v>
      </c>
      <c r="H116">
        <v>23</v>
      </c>
      <c r="I116">
        <f t="shared" si="6"/>
        <v>1</v>
      </c>
      <c r="J116" t="s">
        <v>126</v>
      </c>
      <c r="K116">
        <v>3</v>
      </c>
      <c r="L116" t="str">
        <f t="shared" si="7"/>
        <v>Weekday</v>
      </c>
      <c r="M116">
        <v>1</v>
      </c>
      <c r="N116" t="str" cm="1">
        <f t="array" ref="N116">_xlfn.IFS(M116=1,"Sunny Day",M116=2,"Cloudy Day",M116=3,"Rainy Day",M116=4,"Heavy Rain")</f>
        <v>Sunny Day</v>
      </c>
      <c r="O116">
        <v>0.2</v>
      </c>
      <c r="P116">
        <v>0.2576</v>
      </c>
      <c r="Q116">
        <v>0.47</v>
      </c>
      <c r="R116">
        <v>0</v>
      </c>
      <c r="S116">
        <v>1</v>
      </c>
      <c r="T116">
        <v>18</v>
      </c>
      <c r="U116">
        <v>19</v>
      </c>
    </row>
    <row r="117" spans="1:21" x14ac:dyDescent="0.3">
      <c r="A117">
        <v>116</v>
      </c>
      <c r="B117" t="s">
        <v>15</v>
      </c>
      <c r="C117" t="str">
        <f t="shared" si="5"/>
        <v>06-Jan-2011</v>
      </c>
      <c r="D117">
        <v>1</v>
      </c>
      <c r="E117">
        <v>0</v>
      </c>
      <c r="F117">
        <v>1</v>
      </c>
      <c r="G117" t="str">
        <f t="shared" si="4"/>
        <v>Jan</v>
      </c>
      <c r="H117">
        <v>0</v>
      </c>
      <c r="I117">
        <f t="shared" si="6"/>
        <v>0</v>
      </c>
      <c r="J117" t="s">
        <v>126</v>
      </c>
      <c r="K117">
        <v>4</v>
      </c>
      <c r="L117" t="str">
        <f t="shared" si="7"/>
        <v>Weekday</v>
      </c>
      <c r="M117">
        <v>1</v>
      </c>
      <c r="N117" t="str" cm="1">
        <f t="array" ref="N117">_xlfn.IFS(M117=1,"Sunny Day",M117=2,"Cloudy Day",M117=3,"Rainy Day",M117=4,"Heavy Rain")</f>
        <v>Sunny Day</v>
      </c>
      <c r="O117">
        <v>0.18</v>
      </c>
      <c r="P117">
        <v>0.2424</v>
      </c>
      <c r="Q117">
        <v>0.55000000000000004</v>
      </c>
      <c r="R117">
        <v>0</v>
      </c>
      <c r="S117">
        <v>0</v>
      </c>
      <c r="T117">
        <v>11</v>
      </c>
      <c r="U117">
        <v>11</v>
      </c>
    </row>
    <row r="118" spans="1:21" x14ac:dyDescent="0.3">
      <c r="A118">
        <v>117</v>
      </c>
      <c r="B118" t="s">
        <v>15</v>
      </c>
      <c r="C118" t="str">
        <f t="shared" si="5"/>
        <v>06-Jan-2011</v>
      </c>
      <c r="D118">
        <v>1</v>
      </c>
      <c r="E118">
        <v>0</v>
      </c>
      <c r="F118">
        <v>1</v>
      </c>
      <c r="G118" t="str">
        <f t="shared" si="4"/>
        <v>Jan</v>
      </c>
      <c r="H118">
        <v>1</v>
      </c>
      <c r="I118">
        <f t="shared" si="6"/>
        <v>0</v>
      </c>
      <c r="J118" t="s">
        <v>126</v>
      </c>
      <c r="K118">
        <v>4</v>
      </c>
      <c r="L118" t="str">
        <f t="shared" si="7"/>
        <v>Weekday</v>
      </c>
      <c r="M118">
        <v>1</v>
      </c>
      <c r="N118" t="str" cm="1">
        <f t="array" ref="N118">_xlfn.IFS(M118=1,"Sunny Day",M118=2,"Cloudy Day",M118=3,"Rainy Day",M118=4,"Heavy Rain")</f>
        <v>Sunny Day</v>
      </c>
      <c r="O118">
        <v>0.16</v>
      </c>
      <c r="P118">
        <v>0.2273</v>
      </c>
      <c r="Q118">
        <v>0.64</v>
      </c>
      <c r="R118">
        <v>0</v>
      </c>
      <c r="S118">
        <v>0</v>
      </c>
      <c r="T118">
        <v>4</v>
      </c>
      <c r="U118">
        <v>4</v>
      </c>
    </row>
    <row r="119" spans="1:21" x14ac:dyDescent="0.3">
      <c r="A119">
        <v>118</v>
      </c>
      <c r="B119" t="s">
        <v>15</v>
      </c>
      <c r="C119" t="str">
        <f t="shared" si="5"/>
        <v>06-Jan-2011</v>
      </c>
      <c r="D119">
        <v>1</v>
      </c>
      <c r="E119">
        <v>0</v>
      </c>
      <c r="F119">
        <v>1</v>
      </c>
      <c r="G119" t="str">
        <f t="shared" si="4"/>
        <v>Jan</v>
      </c>
      <c r="H119">
        <v>2</v>
      </c>
      <c r="I119">
        <f t="shared" si="6"/>
        <v>0</v>
      </c>
      <c r="J119" t="s">
        <v>126</v>
      </c>
      <c r="K119">
        <v>4</v>
      </c>
      <c r="L119" t="str">
        <f t="shared" si="7"/>
        <v>Weekday</v>
      </c>
      <c r="M119">
        <v>1</v>
      </c>
      <c r="N119" t="str" cm="1">
        <f t="array" ref="N119">_xlfn.IFS(M119=1,"Sunny Day",M119=2,"Cloudy Day",M119=3,"Rainy Day",M119=4,"Heavy Rain")</f>
        <v>Sunny Day</v>
      </c>
      <c r="O119">
        <v>0.16</v>
      </c>
      <c r="P119">
        <v>0.2273</v>
      </c>
      <c r="Q119">
        <v>0.64</v>
      </c>
      <c r="R119">
        <v>0</v>
      </c>
      <c r="S119">
        <v>0</v>
      </c>
      <c r="T119">
        <v>2</v>
      </c>
      <c r="U119">
        <v>2</v>
      </c>
    </row>
    <row r="120" spans="1:21" x14ac:dyDescent="0.3">
      <c r="A120">
        <v>119</v>
      </c>
      <c r="B120" t="s">
        <v>15</v>
      </c>
      <c r="C120" t="str">
        <f t="shared" si="5"/>
        <v>06-Jan-2011</v>
      </c>
      <c r="D120">
        <v>1</v>
      </c>
      <c r="E120">
        <v>0</v>
      </c>
      <c r="F120">
        <v>1</v>
      </c>
      <c r="G120" t="str">
        <f t="shared" si="4"/>
        <v>Jan</v>
      </c>
      <c r="H120">
        <v>4</v>
      </c>
      <c r="I120">
        <f t="shared" si="6"/>
        <v>0</v>
      </c>
      <c r="J120" t="s">
        <v>126</v>
      </c>
      <c r="K120">
        <v>4</v>
      </c>
      <c r="L120" t="str">
        <f t="shared" si="7"/>
        <v>Weekday</v>
      </c>
      <c r="M120">
        <v>2</v>
      </c>
      <c r="N120" t="str" cm="1">
        <f t="array" ref="N120">_xlfn.IFS(M120=1,"Sunny Day",M120=2,"Cloudy Day",M120=3,"Rainy Day",M120=4,"Heavy Rain")</f>
        <v>Cloudy Day</v>
      </c>
      <c r="O120">
        <v>0.16</v>
      </c>
      <c r="P120">
        <v>0.19700000000000001</v>
      </c>
      <c r="Q120">
        <v>0.64</v>
      </c>
      <c r="R120">
        <v>8.9599999999999999E-2</v>
      </c>
      <c r="S120">
        <v>0</v>
      </c>
      <c r="T120">
        <v>1</v>
      </c>
      <c r="U120">
        <v>1</v>
      </c>
    </row>
    <row r="121" spans="1:21" x14ac:dyDescent="0.3">
      <c r="A121">
        <v>120</v>
      </c>
      <c r="B121" t="s">
        <v>15</v>
      </c>
      <c r="C121" t="str">
        <f t="shared" si="5"/>
        <v>06-Jan-2011</v>
      </c>
      <c r="D121">
        <v>1</v>
      </c>
      <c r="E121">
        <v>0</v>
      </c>
      <c r="F121">
        <v>1</v>
      </c>
      <c r="G121" t="str">
        <f t="shared" si="4"/>
        <v>Jan</v>
      </c>
      <c r="H121">
        <v>5</v>
      </c>
      <c r="I121">
        <f t="shared" si="6"/>
        <v>0</v>
      </c>
      <c r="J121" t="s">
        <v>126</v>
      </c>
      <c r="K121">
        <v>4</v>
      </c>
      <c r="L121" t="str">
        <f t="shared" si="7"/>
        <v>Weekday</v>
      </c>
      <c r="M121">
        <v>2</v>
      </c>
      <c r="N121" t="str" cm="1">
        <f t="array" ref="N121">_xlfn.IFS(M121=1,"Sunny Day",M121=2,"Cloudy Day",M121=3,"Rainy Day",M121=4,"Heavy Rain")</f>
        <v>Cloudy Day</v>
      </c>
      <c r="O121">
        <v>0.14000000000000001</v>
      </c>
      <c r="P121">
        <v>0.18179999999999999</v>
      </c>
      <c r="Q121">
        <v>0.69</v>
      </c>
      <c r="R121">
        <v>8.9599999999999999E-2</v>
      </c>
      <c r="S121">
        <v>0</v>
      </c>
      <c r="T121">
        <v>4</v>
      </c>
      <c r="U121">
        <v>4</v>
      </c>
    </row>
    <row r="122" spans="1:21" x14ac:dyDescent="0.3">
      <c r="A122">
        <v>121</v>
      </c>
      <c r="B122" t="s">
        <v>15</v>
      </c>
      <c r="C122" t="str">
        <f t="shared" si="5"/>
        <v>06-Jan-2011</v>
      </c>
      <c r="D122">
        <v>1</v>
      </c>
      <c r="E122">
        <v>0</v>
      </c>
      <c r="F122">
        <v>1</v>
      </c>
      <c r="G122" t="str">
        <f t="shared" si="4"/>
        <v>Jan</v>
      </c>
      <c r="H122">
        <v>6</v>
      </c>
      <c r="I122">
        <f t="shared" si="6"/>
        <v>0</v>
      </c>
      <c r="J122" t="s">
        <v>126</v>
      </c>
      <c r="K122">
        <v>4</v>
      </c>
      <c r="L122" t="str">
        <f t="shared" si="7"/>
        <v>Weekday</v>
      </c>
      <c r="M122">
        <v>2</v>
      </c>
      <c r="N122" t="str" cm="1">
        <f t="array" ref="N122">_xlfn.IFS(M122=1,"Sunny Day",M122=2,"Cloudy Day",M122=3,"Rainy Day",M122=4,"Heavy Rain")</f>
        <v>Cloudy Day</v>
      </c>
      <c r="O122">
        <v>0.14000000000000001</v>
      </c>
      <c r="P122">
        <v>0.16669999999999999</v>
      </c>
      <c r="Q122">
        <v>0.63</v>
      </c>
      <c r="R122">
        <v>0.1045</v>
      </c>
      <c r="S122">
        <v>0</v>
      </c>
      <c r="T122">
        <v>36</v>
      </c>
      <c r="U122">
        <v>36</v>
      </c>
    </row>
    <row r="123" spans="1:21" x14ac:dyDescent="0.3">
      <c r="A123">
        <v>122</v>
      </c>
      <c r="B123" t="s">
        <v>15</v>
      </c>
      <c r="C123" t="str">
        <f t="shared" si="5"/>
        <v>06-Jan-2011</v>
      </c>
      <c r="D123">
        <v>1</v>
      </c>
      <c r="E123">
        <v>0</v>
      </c>
      <c r="F123">
        <v>1</v>
      </c>
      <c r="G123" t="str">
        <f t="shared" si="4"/>
        <v>Jan</v>
      </c>
      <c r="H123">
        <v>7</v>
      </c>
      <c r="I123">
        <f t="shared" si="6"/>
        <v>0</v>
      </c>
      <c r="J123" t="s">
        <v>126</v>
      </c>
      <c r="K123">
        <v>4</v>
      </c>
      <c r="L123" t="str">
        <f t="shared" si="7"/>
        <v>Weekday</v>
      </c>
      <c r="M123">
        <v>2</v>
      </c>
      <c r="N123" t="str" cm="1">
        <f t="array" ref="N123">_xlfn.IFS(M123=1,"Sunny Day",M123=2,"Cloudy Day",M123=3,"Rainy Day",M123=4,"Heavy Rain")</f>
        <v>Cloudy Day</v>
      </c>
      <c r="O123">
        <v>0.16</v>
      </c>
      <c r="P123">
        <v>0.2273</v>
      </c>
      <c r="Q123">
        <v>0.59</v>
      </c>
      <c r="R123">
        <v>0</v>
      </c>
      <c r="S123">
        <v>0</v>
      </c>
      <c r="T123">
        <v>95</v>
      </c>
      <c r="U123">
        <v>95</v>
      </c>
    </row>
    <row r="124" spans="1:21" x14ac:dyDescent="0.3">
      <c r="A124">
        <v>123</v>
      </c>
      <c r="B124" t="s">
        <v>15</v>
      </c>
      <c r="C124" t="str">
        <f t="shared" si="5"/>
        <v>06-Jan-2011</v>
      </c>
      <c r="D124">
        <v>1</v>
      </c>
      <c r="E124">
        <v>0</v>
      </c>
      <c r="F124">
        <v>1</v>
      </c>
      <c r="G124" t="str">
        <f t="shared" si="4"/>
        <v>Jan</v>
      </c>
      <c r="H124">
        <v>8</v>
      </c>
      <c r="I124">
        <f t="shared" si="6"/>
        <v>0</v>
      </c>
      <c r="J124" t="s">
        <v>126</v>
      </c>
      <c r="K124">
        <v>4</v>
      </c>
      <c r="L124" t="str">
        <f t="shared" si="7"/>
        <v>Weekday</v>
      </c>
      <c r="M124">
        <v>1</v>
      </c>
      <c r="N124" t="str" cm="1">
        <f t="array" ref="N124">_xlfn.IFS(M124=1,"Sunny Day",M124=2,"Cloudy Day",M124=3,"Rainy Day",M124=4,"Heavy Rain")</f>
        <v>Sunny Day</v>
      </c>
      <c r="O124">
        <v>0.16</v>
      </c>
      <c r="P124">
        <v>0.2273</v>
      </c>
      <c r="Q124">
        <v>0.59</v>
      </c>
      <c r="R124">
        <v>0</v>
      </c>
      <c r="S124">
        <v>3</v>
      </c>
      <c r="T124">
        <v>216</v>
      </c>
      <c r="U124">
        <v>219</v>
      </c>
    </row>
    <row r="125" spans="1:21" x14ac:dyDescent="0.3">
      <c r="A125">
        <v>124</v>
      </c>
      <c r="B125" t="s">
        <v>15</v>
      </c>
      <c r="C125" t="str">
        <f t="shared" si="5"/>
        <v>06-Jan-2011</v>
      </c>
      <c r="D125">
        <v>1</v>
      </c>
      <c r="E125">
        <v>0</v>
      </c>
      <c r="F125">
        <v>1</v>
      </c>
      <c r="G125" t="str">
        <f t="shared" si="4"/>
        <v>Jan</v>
      </c>
      <c r="H125">
        <v>9</v>
      </c>
      <c r="I125">
        <f t="shared" si="6"/>
        <v>0</v>
      </c>
      <c r="J125" t="s">
        <v>126</v>
      </c>
      <c r="K125">
        <v>4</v>
      </c>
      <c r="L125" t="str">
        <f t="shared" si="7"/>
        <v>Weekday</v>
      </c>
      <c r="M125">
        <v>2</v>
      </c>
      <c r="N125" t="str" cm="1">
        <f t="array" ref="N125">_xlfn.IFS(M125=1,"Sunny Day",M125=2,"Cloudy Day",M125=3,"Rainy Day",M125=4,"Heavy Rain")</f>
        <v>Cloudy Day</v>
      </c>
      <c r="O125">
        <v>0.18</v>
      </c>
      <c r="P125">
        <v>0.2424</v>
      </c>
      <c r="Q125">
        <v>0.51</v>
      </c>
      <c r="R125">
        <v>0</v>
      </c>
      <c r="S125">
        <v>6</v>
      </c>
      <c r="T125">
        <v>116</v>
      </c>
      <c r="U125">
        <v>122</v>
      </c>
    </row>
    <row r="126" spans="1:21" x14ac:dyDescent="0.3">
      <c r="A126">
        <v>125</v>
      </c>
      <c r="B126" t="s">
        <v>15</v>
      </c>
      <c r="C126" t="str">
        <f t="shared" si="5"/>
        <v>06-Jan-2011</v>
      </c>
      <c r="D126">
        <v>1</v>
      </c>
      <c r="E126">
        <v>0</v>
      </c>
      <c r="F126">
        <v>1</v>
      </c>
      <c r="G126" t="str">
        <f t="shared" si="4"/>
        <v>Jan</v>
      </c>
      <c r="H126">
        <v>10</v>
      </c>
      <c r="I126">
        <f t="shared" si="6"/>
        <v>0</v>
      </c>
      <c r="J126" t="s">
        <v>126</v>
      </c>
      <c r="K126">
        <v>4</v>
      </c>
      <c r="L126" t="str">
        <f t="shared" si="7"/>
        <v>Weekday</v>
      </c>
      <c r="M126">
        <v>1</v>
      </c>
      <c r="N126" t="str" cm="1">
        <f t="array" ref="N126">_xlfn.IFS(M126=1,"Sunny Day",M126=2,"Cloudy Day",M126=3,"Rainy Day",M126=4,"Heavy Rain")</f>
        <v>Sunny Day</v>
      </c>
      <c r="O126">
        <v>0.2</v>
      </c>
      <c r="P126">
        <v>0.2576</v>
      </c>
      <c r="Q126">
        <v>0.47</v>
      </c>
      <c r="R126">
        <v>0</v>
      </c>
      <c r="S126">
        <v>3</v>
      </c>
      <c r="T126">
        <v>42</v>
      </c>
      <c r="U126">
        <v>45</v>
      </c>
    </row>
    <row r="127" spans="1:21" x14ac:dyDescent="0.3">
      <c r="A127">
        <v>126</v>
      </c>
      <c r="B127" t="s">
        <v>15</v>
      </c>
      <c r="C127" t="str">
        <f t="shared" si="5"/>
        <v>06-Jan-2011</v>
      </c>
      <c r="D127">
        <v>1</v>
      </c>
      <c r="E127">
        <v>0</v>
      </c>
      <c r="F127">
        <v>1</v>
      </c>
      <c r="G127" t="str">
        <f t="shared" si="4"/>
        <v>Jan</v>
      </c>
      <c r="H127">
        <v>11</v>
      </c>
      <c r="I127">
        <f t="shared" si="6"/>
        <v>1</v>
      </c>
      <c r="J127" t="s">
        <v>126</v>
      </c>
      <c r="K127">
        <v>4</v>
      </c>
      <c r="L127" t="str">
        <f t="shared" si="7"/>
        <v>Weekday</v>
      </c>
      <c r="M127">
        <v>1</v>
      </c>
      <c r="N127" t="str" cm="1">
        <f t="array" ref="N127">_xlfn.IFS(M127=1,"Sunny Day",M127=2,"Cloudy Day",M127=3,"Rainy Day",M127=4,"Heavy Rain")</f>
        <v>Sunny Day</v>
      </c>
      <c r="O127">
        <v>0.22</v>
      </c>
      <c r="P127">
        <v>0.2576</v>
      </c>
      <c r="Q127">
        <v>0.44</v>
      </c>
      <c r="R127">
        <v>8.9599999999999999E-2</v>
      </c>
      <c r="S127">
        <v>2</v>
      </c>
      <c r="T127">
        <v>57</v>
      </c>
      <c r="U127">
        <v>59</v>
      </c>
    </row>
    <row r="128" spans="1:21" x14ac:dyDescent="0.3">
      <c r="A128">
        <v>127</v>
      </c>
      <c r="B128" t="s">
        <v>15</v>
      </c>
      <c r="C128" t="str">
        <f t="shared" si="5"/>
        <v>06-Jan-2011</v>
      </c>
      <c r="D128">
        <v>1</v>
      </c>
      <c r="E128">
        <v>0</v>
      </c>
      <c r="F128">
        <v>1</v>
      </c>
      <c r="G128" t="str">
        <f t="shared" si="4"/>
        <v>Jan</v>
      </c>
      <c r="H128">
        <v>12</v>
      </c>
      <c r="I128">
        <f t="shared" si="6"/>
        <v>1</v>
      </c>
      <c r="J128" t="s">
        <v>126</v>
      </c>
      <c r="K128">
        <v>4</v>
      </c>
      <c r="L128" t="str">
        <f t="shared" si="7"/>
        <v>Weekday</v>
      </c>
      <c r="M128">
        <v>1</v>
      </c>
      <c r="N128" t="str" cm="1">
        <f t="array" ref="N128">_xlfn.IFS(M128=1,"Sunny Day",M128=2,"Cloudy Day",M128=3,"Rainy Day",M128=4,"Heavy Rain")</f>
        <v>Sunny Day</v>
      </c>
      <c r="O128">
        <v>0.26</v>
      </c>
      <c r="P128">
        <v>0.28789999999999999</v>
      </c>
      <c r="Q128">
        <v>0.35</v>
      </c>
      <c r="R128">
        <v>0</v>
      </c>
      <c r="S128">
        <v>6</v>
      </c>
      <c r="T128">
        <v>78</v>
      </c>
      <c r="U128">
        <v>84</v>
      </c>
    </row>
    <row r="129" spans="1:21" x14ac:dyDescent="0.3">
      <c r="A129">
        <v>128</v>
      </c>
      <c r="B129" t="s">
        <v>15</v>
      </c>
      <c r="C129" t="str">
        <f t="shared" si="5"/>
        <v>06-Jan-2011</v>
      </c>
      <c r="D129">
        <v>1</v>
      </c>
      <c r="E129">
        <v>0</v>
      </c>
      <c r="F129">
        <v>1</v>
      </c>
      <c r="G129" t="str">
        <f t="shared" si="4"/>
        <v>Jan</v>
      </c>
      <c r="H129">
        <v>13</v>
      </c>
      <c r="I129">
        <f t="shared" si="6"/>
        <v>1</v>
      </c>
      <c r="J129" t="s">
        <v>126</v>
      </c>
      <c r="K129">
        <v>4</v>
      </c>
      <c r="L129" t="str">
        <f t="shared" si="7"/>
        <v>Weekday</v>
      </c>
      <c r="M129">
        <v>1</v>
      </c>
      <c r="N129" t="str" cm="1">
        <f t="array" ref="N129">_xlfn.IFS(M129=1,"Sunny Day",M129=2,"Cloudy Day",M129=3,"Rainy Day",M129=4,"Heavy Rain")</f>
        <v>Sunny Day</v>
      </c>
      <c r="O129">
        <v>0.26</v>
      </c>
      <c r="P129">
        <v>0.2727</v>
      </c>
      <c r="Q129">
        <v>0.35</v>
      </c>
      <c r="R129">
        <v>0.1045</v>
      </c>
      <c r="S129">
        <v>12</v>
      </c>
      <c r="T129">
        <v>55</v>
      </c>
      <c r="U129">
        <v>67</v>
      </c>
    </row>
    <row r="130" spans="1:21" x14ac:dyDescent="0.3">
      <c r="A130">
        <v>129</v>
      </c>
      <c r="B130" t="s">
        <v>15</v>
      </c>
      <c r="C130" t="str">
        <f t="shared" si="5"/>
        <v>06-Jan-2011</v>
      </c>
      <c r="D130">
        <v>1</v>
      </c>
      <c r="E130">
        <v>0</v>
      </c>
      <c r="F130">
        <v>1</v>
      </c>
      <c r="G130" t="str">
        <f t="shared" ref="G130:G193" si="8">TEXT(C130,"mmm")</f>
        <v>Jan</v>
      </c>
      <c r="H130">
        <v>14</v>
      </c>
      <c r="I130">
        <f t="shared" si="6"/>
        <v>1</v>
      </c>
      <c r="J130" t="s">
        <v>126</v>
      </c>
      <c r="K130">
        <v>4</v>
      </c>
      <c r="L130" t="str">
        <f t="shared" si="7"/>
        <v>Weekday</v>
      </c>
      <c r="M130">
        <v>1</v>
      </c>
      <c r="N130" t="str" cm="1">
        <f t="array" ref="N130">_xlfn.IFS(M130=1,"Sunny Day",M130=2,"Cloudy Day",M130=3,"Rainy Day",M130=4,"Heavy Rain")</f>
        <v>Sunny Day</v>
      </c>
      <c r="O130">
        <v>0.28000000000000003</v>
      </c>
      <c r="P130">
        <v>0.2727</v>
      </c>
      <c r="Q130">
        <v>0.36</v>
      </c>
      <c r="R130">
        <v>0.16420000000000001</v>
      </c>
      <c r="S130">
        <v>11</v>
      </c>
      <c r="T130">
        <v>59</v>
      </c>
      <c r="U130">
        <v>70</v>
      </c>
    </row>
    <row r="131" spans="1:21" x14ac:dyDescent="0.3">
      <c r="A131">
        <v>130</v>
      </c>
      <c r="B131" t="s">
        <v>15</v>
      </c>
      <c r="C131" t="str">
        <f t="shared" ref="C131:C194" si="9">TEXT(DATEVALUE(B131),"dd-mmm-yyyy")</f>
        <v>06-Jan-2011</v>
      </c>
      <c r="D131">
        <v>1</v>
      </c>
      <c r="E131">
        <v>0</v>
      </c>
      <c r="F131">
        <v>1</v>
      </c>
      <c r="G131" t="str">
        <f t="shared" si="8"/>
        <v>Jan</v>
      </c>
      <c r="H131">
        <v>15</v>
      </c>
      <c r="I131">
        <f t="shared" ref="I131:I194" si="10">IF(AND(H131&gt;=0,H131&lt;=10),0,1)</f>
        <v>1</v>
      </c>
      <c r="J131" t="s">
        <v>126</v>
      </c>
      <c r="K131">
        <v>4</v>
      </c>
      <c r="L131" t="str">
        <f t="shared" ref="L131:L194" si="11">IF(AND(K131&gt;=1,K131&lt;=5),"Weekday","Weekend")</f>
        <v>Weekday</v>
      </c>
      <c r="M131">
        <v>1</v>
      </c>
      <c r="N131" t="str" cm="1">
        <f t="array" ref="N131">_xlfn.IFS(M131=1,"Sunny Day",M131=2,"Cloudy Day",M131=3,"Rainy Day",M131=4,"Heavy Rain")</f>
        <v>Sunny Day</v>
      </c>
      <c r="O131">
        <v>0.28000000000000003</v>
      </c>
      <c r="P131">
        <v>0.2727</v>
      </c>
      <c r="Q131">
        <v>0.36</v>
      </c>
      <c r="R131">
        <v>0</v>
      </c>
      <c r="S131">
        <v>8</v>
      </c>
      <c r="T131">
        <v>54</v>
      </c>
      <c r="U131">
        <v>62</v>
      </c>
    </row>
    <row r="132" spans="1:21" x14ac:dyDescent="0.3">
      <c r="A132">
        <v>131</v>
      </c>
      <c r="B132" t="s">
        <v>15</v>
      </c>
      <c r="C132" t="str">
        <f t="shared" si="9"/>
        <v>06-Jan-2011</v>
      </c>
      <c r="D132">
        <v>1</v>
      </c>
      <c r="E132">
        <v>0</v>
      </c>
      <c r="F132">
        <v>1</v>
      </c>
      <c r="G132" t="str">
        <f t="shared" si="8"/>
        <v>Jan</v>
      </c>
      <c r="H132">
        <v>16</v>
      </c>
      <c r="I132">
        <f t="shared" si="10"/>
        <v>1</v>
      </c>
      <c r="J132" t="s">
        <v>126</v>
      </c>
      <c r="K132">
        <v>4</v>
      </c>
      <c r="L132" t="str">
        <f t="shared" si="11"/>
        <v>Weekday</v>
      </c>
      <c r="M132">
        <v>1</v>
      </c>
      <c r="N132" t="str" cm="1">
        <f t="array" ref="N132">_xlfn.IFS(M132=1,"Sunny Day",M132=2,"Cloudy Day",M132=3,"Rainy Day",M132=4,"Heavy Rain")</f>
        <v>Sunny Day</v>
      </c>
      <c r="O132">
        <v>0.26</v>
      </c>
      <c r="P132">
        <v>0.2576</v>
      </c>
      <c r="Q132">
        <v>0.38</v>
      </c>
      <c r="R132">
        <v>0.16420000000000001</v>
      </c>
      <c r="S132">
        <v>12</v>
      </c>
      <c r="T132">
        <v>74</v>
      </c>
      <c r="U132">
        <v>86</v>
      </c>
    </row>
    <row r="133" spans="1:21" x14ac:dyDescent="0.3">
      <c r="A133">
        <v>132</v>
      </c>
      <c r="B133" t="s">
        <v>15</v>
      </c>
      <c r="C133" t="str">
        <f t="shared" si="9"/>
        <v>06-Jan-2011</v>
      </c>
      <c r="D133">
        <v>1</v>
      </c>
      <c r="E133">
        <v>0</v>
      </c>
      <c r="F133">
        <v>1</v>
      </c>
      <c r="G133" t="str">
        <f t="shared" si="8"/>
        <v>Jan</v>
      </c>
      <c r="H133">
        <v>17</v>
      </c>
      <c r="I133">
        <f t="shared" si="10"/>
        <v>1</v>
      </c>
      <c r="J133" t="s">
        <v>126</v>
      </c>
      <c r="K133">
        <v>4</v>
      </c>
      <c r="L133" t="str">
        <f t="shared" si="11"/>
        <v>Weekday</v>
      </c>
      <c r="M133">
        <v>1</v>
      </c>
      <c r="N133" t="str" cm="1">
        <f t="array" ref="N133">_xlfn.IFS(M133=1,"Sunny Day",M133=2,"Cloudy Day",M133=3,"Rainy Day",M133=4,"Heavy Rain")</f>
        <v>Sunny Day</v>
      </c>
      <c r="O133">
        <v>0.22</v>
      </c>
      <c r="P133">
        <v>0.2273</v>
      </c>
      <c r="Q133">
        <v>0.51</v>
      </c>
      <c r="R133">
        <v>0.16420000000000001</v>
      </c>
      <c r="S133">
        <v>9</v>
      </c>
      <c r="T133">
        <v>163</v>
      </c>
      <c r="U133">
        <v>172</v>
      </c>
    </row>
    <row r="134" spans="1:21" x14ac:dyDescent="0.3">
      <c r="A134">
        <v>133</v>
      </c>
      <c r="B134" t="s">
        <v>15</v>
      </c>
      <c r="C134" t="str">
        <f t="shared" si="9"/>
        <v>06-Jan-2011</v>
      </c>
      <c r="D134">
        <v>1</v>
      </c>
      <c r="E134">
        <v>0</v>
      </c>
      <c r="F134">
        <v>1</v>
      </c>
      <c r="G134" t="str">
        <f t="shared" si="8"/>
        <v>Jan</v>
      </c>
      <c r="H134">
        <v>18</v>
      </c>
      <c r="I134">
        <f t="shared" si="10"/>
        <v>1</v>
      </c>
      <c r="J134" t="s">
        <v>126</v>
      </c>
      <c r="K134">
        <v>4</v>
      </c>
      <c r="L134" t="str">
        <f t="shared" si="11"/>
        <v>Weekday</v>
      </c>
      <c r="M134">
        <v>1</v>
      </c>
      <c r="N134" t="str" cm="1">
        <f t="array" ref="N134">_xlfn.IFS(M134=1,"Sunny Day",M134=2,"Cloudy Day",M134=3,"Rainy Day",M134=4,"Heavy Rain")</f>
        <v>Sunny Day</v>
      </c>
      <c r="O134">
        <v>0.22</v>
      </c>
      <c r="P134">
        <v>0.2273</v>
      </c>
      <c r="Q134">
        <v>0.51</v>
      </c>
      <c r="R134">
        <v>0.1343</v>
      </c>
      <c r="S134">
        <v>5</v>
      </c>
      <c r="T134">
        <v>158</v>
      </c>
      <c r="U134">
        <v>163</v>
      </c>
    </row>
    <row r="135" spans="1:21" x14ac:dyDescent="0.3">
      <c r="A135">
        <v>134</v>
      </c>
      <c r="B135" t="s">
        <v>15</v>
      </c>
      <c r="C135" t="str">
        <f t="shared" si="9"/>
        <v>06-Jan-2011</v>
      </c>
      <c r="D135">
        <v>1</v>
      </c>
      <c r="E135">
        <v>0</v>
      </c>
      <c r="F135">
        <v>1</v>
      </c>
      <c r="G135" t="str">
        <f t="shared" si="8"/>
        <v>Jan</v>
      </c>
      <c r="H135">
        <v>19</v>
      </c>
      <c r="I135">
        <f t="shared" si="10"/>
        <v>1</v>
      </c>
      <c r="J135" t="s">
        <v>126</v>
      </c>
      <c r="K135">
        <v>4</v>
      </c>
      <c r="L135" t="str">
        <f t="shared" si="11"/>
        <v>Weekday</v>
      </c>
      <c r="M135">
        <v>1</v>
      </c>
      <c r="N135" t="str" cm="1">
        <f t="array" ref="N135">_xlfn.IFS(M135=1,"Sunny Day",M135=2,"Cloudy Day",M135=3,"Rainy Day",M135=4,"Heavy Rain")</f>
        <v>Sunny Day</v>
      </c>
      <c r="O135">
        <v>0.22</v>
      </c>
      <c r="P135">
        <v>0.2576</v>
      </c>
      <c r="Q135">
        <v>0.55000000000000004</v>
      </c>
      <c r="R135">
        <v>8.9599999999999999E-2</v>
      </c>
      <c r="S135">
        <v>3</v>
      </c>
      <c r="T135">
        <v>109</v>
      </c>
      <c r="U135">
        <v>112</v>
      </c>
    </row>
    <row r="136" spans="1:21" x14ac:dyDescent="0.3">
      <c r="A136">
        <v>135</v>
      </c>
      <c r="B136" t="s">
        <v>15</v>
      </c>
      <c r="C136" t="str">
        <f t="shared" si="9"/>
        <v>06-Jan-2011</v>
      </c>
      <c r="D136">
        <v>1</v>
      </c>
      <c r="E136">
        <v>0</v>
      </c>
      <c r="F136">
        <v>1</v>
      </c>
      <c r="G136" t="str">
        <f t="shared" si="8"/>
        <v>Jan</v>
      </c>
      <c r="H136">
        <v>20</v>
      </c>
      <c r="I136">
        <f t="shared" si="10"/>
        <v>1</v>
      </c>
      <c r="J136" t="s">
        <v>126</v>
      </c>
      <c r="K136">
        <v>4</v>
      </c>
      <c r="L136" t="str">
        <f t="shared" si="11"/>
        <v>Weekday</v>
      </c>
      <c r="M136">
        <v>1</v>
      </c>
      <c r="N136" t="str" cm="1">
        <f t="array" ref="N136">_xlfn.IFS(M136=1,"Sunny Day",M136=2,"Cloudy Day",M136=3,"Rainy Day",M136=4,"Heavy Rain")</f>
        <v>Sunny Day</v>
      </c>
      <c r="O136">
        <v>0.2</v>
      </c>
      <c r="P136">
        <v>0.21210000000000001</v>
      </c>
      <c r="Q136">
        <v>0.51</v>
      </c>
      <c r="R136">
        <v>0.16420000000000001</v>
      </c>
      <c r="S136">
        <v>3</v>
      </c>
      <c r="T136">
        <v>66</v>
      </c>
      <c r="U136">
        <v>69</v>
      </c>
    </row>
    <row r="137" spans="1:21" x14ac:dyDescent="0.3">
      <c r="A137">
        <v>136</v>
      </c>
      <c r="B137" t="s">
        <v>15</v>
      </c>
      <c r="C137" t="str">
        <f t="shared" si="9"/>
        <v>06-Jan-2011</v>
      </c>
      <c r="D137">
        <v>1</v>
      </c>
      <c r="E137">
        <v>0</v>
      </c>
      <c r="F137">
        <v>1</v>
      </c>
      <c r="G137" t="str">
        <f t="shared" si="8"/>
        <v>Jan</v>
      </c>
      <c r="H137">
        <v>21</v>
      </c>
      <c r="I137">
        <f t="shared" si="10"/>
        <v>1</v>
      </c>
      <c r="J137" t="s">
        <v>126</v>
      </c>
      <c r="K137">
        <v>4</v>
      </c>
      <c r="L137" t="str">
        <f t="shared" si="11"/>
        <v>Weekday</v>
      </c>
      <c r="M137">
        <v>2</v>
      </c>
      <c r="N137" t="str" cm="1">
        <f t="array" ref="N137">_xlfn.IFS(M137=1,"Sunny Day",M137=2,"Cloudy Day",M137=3,"Rainy Day",M137=4,"Heavy Rain")</f>
        <v>Cloudy Day</v>
      </c>
      <c r="O137">
        <v>0.22</v>
      </c>
      <c r="P137">
        <v>0.21210000000000001</v>
      </c>
      <c r="Q137">
        <v>0.55000000000000004</v>
      </c>
      <c r="R137">
        <v>0.22389999999999999</v>
      </c>
      <c r="S137">
        <v>0</v>
      </c>
      <c r="T137">
        <v>48</v>
      </c>
      <c r="U137">
        <v>48</v>
      </c>
    </row>
    <row r="138" spans="1:21" x14ac:dyDescent="0.3">
      <c r="A138">
        <v>137</v>
      </c>
      <c r="B138" t="s">
        <v>15</v>
      </c>
      <c r="C138" t="str">
        <f t="shared" si="9"/>
        <v>06-Jan-2011</v>
      </c>
      <c r="D138">
        <v>1</v>
      </c>
      <c r="E138">
        <v>0</v>
      </c>
      <c r="F138">
        <v>1</v>
      </c>
      <c r="G138" t="str">
        <f t="shared" si="8"/>
        <v>Jan</v>
      </c>
      <c r="H138">
        <v>22</v>
      </c>
      <c r="I138">
        <f t="shared" si="10"/>
        <v>1</v>
      </c>
      <c r="J138" t="s">
        <v>126</v>
      </c>
      <c r="K138">
        <v>4</v>
      </c>
      <c r="L138" t="str">
        <f t="shared" si="11"/>
        <v>Weekday</v>
      </c>
      <c r="M138">
        <v>2</v>
      </c>
      <c r="N138" t="str" cm="1">
        <f t="array" ref="N138">_xlfn.IFS(M138=1,"Sunny Day",M138=2,"Cloudy Day",M138=3,"Rainy Day",M138=4,"Heavy Rain")</f>
        <v>Cloudy Day</v>
      </c>
      <c r="O138">
        <v>0.22</v>
      </c>
      <c r="P138">
        <v>0.21210000000000001</v>
      </c>
      <c r="Q138">
        <v>0.51</v>
      </c>
      <c r="R138">
        <v>0.28360000000000002</v>
      </c>
      <c r="S138">
        <v>1</v>
      </c>
      <c r="T138">
        <v>51</v>
      </c>
      <c r="U138">
        <v>52</v>
      </c>
    </row>
    <row r="139" spans="1:21" x14ac:dyDescent="0.3">
      <c r="A139">
        <v>138</v>
      </c>
      <c r="B139" t="s">
        <v>15</v>
      </c>
      <c r="C139" t="str">
        <f t="shared" si="9"/>
        <v>06-Jan-2011</v>
      </c>
      <c r="D139">
        <v>1</v>
      </c>
      <c r="E139">
        <v>0</v>
      </c>
      <c r="F139">
        <v>1</v>
      </c>
      <c r="G139" t="str">
        <f t="shared" si="8"/>
        <v>Jan</v>
      </c>
      <c r="H139">
        <v>23</v>
      </c>
      <c r="I139">
        <f t="shared" si="10"/>
        <v>1</v>
      </c>
      <c r="J139" t="s">
        <v>126</v>
      </c>
      <c r="K139">
        <v>4</v>
      </c>
      <c r="L139" t="str">
        <f t="shared" si="11"/>
        <v>Weekday</v>
      </c>
      <c r="M139">
        <v>2</v>
      </c>
      <c r="N139" t="str" cm="1">
        <f t="array" ref="N139">_xlfn.IFS(M139=1,"Sunny Day",M139=2,"Cloudy Day",M139=3,"Rainy Day",M139=4,"Heavy Rain")</f>
        <v>Cloudy Day</v>
      </c>
      <c r="O139">
        <v>0.2</v>
      </c>
      <c r="P139">
        <v>0.19700000000000001</v>
      </c>
      <c r="Q139">
        <v>0.59</v>
      </c>
      <c r="R139">
        <v>0.19400000000000001</v>
      </c>
      <c r="S139">
        <v>4</v>
      </c>
      <c r="T139">
        <v>19</v>
      </c>
      <c r="U139">
        <v>23</v>
      </c>
    </row>
    <row r="140" spans="1:21" x14ac:dyDescent="0.3">
      <c r="A140">
        <v>139</v>
      </c>
      <c r="B140" t="s">
        <v>17</v>
      </c>
      <c r="C140" t="str">
        <f t="shared" si="9"/>
        <v>07-Jan-2011</v>
      </c>
      <c r="D140">
        <v>1</v>
      </c>
      <c r="E140">
        <v>0</v>
      </c>
      <c r="F140">
        <v>1</v>
      </c>
      <c r="G140" t="str">
        <f t="shared" si="8"/>
        <v>Jan</v>
      </c>
      <c r="H140">
        <v>0</v>
      </c>
      <c r="I140">
        <f t="shared" si="10"/>
        <v>0</v>
      </c>
      <c r="J140" t="s">
        <v>126</v>
      </c>
      <c r="K140">
        <v>5</v>
      </c>
      <c r="L140" t="str">
        <f t="shared" si="11"/>
        <v>Weekday</v>
      </c>
      <c r="M140">
        <v>2</v>
      </c>
      <c r="N140" t="str" cm="1">
        <f t="array" ref="N140">_xlfn.IFS(M140=1,"Sunny Day",M140=2,"Cloudy Day",M140=3,"Rainy Day",M140=4,"Heavy Rain")</f>
        <v>Cloudy Day</v>
      </c>
      <c r="O140">
        <v>0.2</v>
      </c>
      <c r="P140">
        <v>0.19700000000000001</v>
      </c>
      <c r="Q140">
        <v>0.64</v>
      </c>
      <c r="R140">
        <v>0.19400000000000001</v>
      </c>
      <c r="S140">
        <v>4</v>
      </c>
      <c r="T140">
        <v>13</v>
      </c>
      <c r="U140">
        <v>17</v>
      </c>
    </row>
    <row r="141" spans="1:21" x14ac:dyDescent="0.3">
      <c r="A141">
        <v>140</v>
      </c>
      <c r="B141" t="s">
        <v>17</v>
      </c>
      <c r="C141" t="str">
        <f t="shared" si="9"/>
        <v>07-Jan-2011</v>
      </c>
      <c r="D141">
        <v>1</v>
      </c>
      <c r="E141">
        <v>0</v>
      </c>
      <c r="F141">
        <v>1</v>
      </c>
      <c r="G141" t="str">
        <f t="shared" si="8"/>
        <v>Jan</v>
      </c>
      <c r="H141">
        <v>1</v>
      </c>
      <c r="I141">
        <f t="shared" si="10"/>
        <v>0</v>
      </c>
      <c r="J141" t="s">
        <v>126</v>
      </c>
      <c r="K141">
        <v>5</v>
      </c>
      <c r="L141" t="str">
        <f t="shared" si="11"/>
        <v>Weekday</v>
      </c>
      <c r="M141">
        <v>2</v>
      </c>
      <c r="N141" t="str" cm="1">
        <f t="array" ref="N141">_xlfn.IFS(M141=1,"Sunny Day",M141=2,"Cloudy Day",M141=3,"Rainy Day",M141=4,"Heavy Rain")</f>
        <v>Cloudy Day</v>
      </c>
      <c r="O141">
        <v>0.2</v>
      </c>
      <c r="P141">
        <v>0.19700000000000001</v>
      </c>
      <c r="Q141">
        <v>0.69</v>
      </c>
      <c r="R141">
        <v>0.22389999999999999</v>
      </c>
      <c r="S141">
        <v>2</v>
      </c>
      <c r="T141">
        <v>5</v>
      </c>
      <c r="U141">
        <v>7</v>
      </c>
    </row>
    <row r="142" spans="1:21" x14ac:dyDescent="0.3">
      <c r="A142">
        <v>141</v>
      </c>
      <c r="B142" t="s">
        <v>17</v>
      </c>
      <c r="C142" t="str">
        <f t="shared" si="9"/>
        <v>07-Jan-2011</v>
      </c>
      <c r="D142">
        <v>1</v>
      </c>
      <c r="E142">
        <v>0</v>
      </c>
      <c r="F142">
        <v>1</v>
      </c>
      <c r="G142" t="str">
        <f t="shared" si="8"/>
        <v>Jan</v>
      </c>
      <c r="H142">
        <v>2</v>
      </c>
      <c r="I142">
        <f t="shared" si="10"/>
        <v>0</v>
      </c>
      <c r="J142" t="s">
        <v>126</v>
      </c>
      <c r="K142">
        <v>5</v>
      </c>
      <c r="L142" t="str">
        <f t="shared" si="11"/>
        <v>Weekday</v>
      </c>
      <c r="M142">
        <v>2</v>
      </c>
      <c r="N142" t="str" cm="1">
        <f t="array" ref="N142">_xlfn.IFS(M142=1,"Sunny Day",M142=2,"Cloudy Day",M142=3,"Rainy Day",M142=4,"Heavy Rain")</f>
        <v>Cloudy Day</v>
      </c>
      <c r="O142">
        <v>0.2</v>
      </c>
      <c r="P142">
        <v>0.19700000000000001</v>
      </c>
      <c r="Q142">
        <v>0.69</v>
      </c>
      <c r="R142">
        <v>0.22389999999999999</v>
      </c>
      <c r="S142">
        <v>0</v>
      </c>
      <c r="T142">
        <v>1</v>
      </c>
      <c r="U142">
        <v>1</v>
      </c>
    </row>
    <row r="143" spans="1:21" x14ac:dyDescent="0.3">
      <c r="A143">
        <v>142</v>
      </c>
      <c r="B143" t="s">
        <v>17</v>
      </c>
      <c r="C143" t="str">
        <f t="shared" si="9"/>
        <v>07-Jan-2011</v>
      </c>
      <c r="D143">
        <v>1</v>
      </c>
      <c r="E143">
        <v>0</v>
      </c>
      <c r="F143">
        <v>1</v>
      </c>
      <c r="G143" t="str">
        <f t="shared" si="8"/>
        <v>Jan</v>
      </c>
      <c r="H143">
        <v>4</v>
      </c>
      <c r="I143">
        <f t="shared" si="10"/>
        <v>0</v>
      </c>
      <c r="J143" t="s">
        <v>126</v>
      </c>
      <c r="K143">
        <v>5</v>
      </c>
      <c r="L143" t="str">
        <f t="shared" si="11"/>
        <v>Weekday</v>
      </c>
      <c r="M143">
        <v>2</v>
      </c>
      <c r="N143" t="str" cm="1">
        <f t="array" ref="N143">_xlfn.IFS(M143=1,"Sunny Day",M143=2,"Cloudy Day",M143=3,"Rainy Day",M143=4,"Heavy Rain")</f>
        <v>Cloudy Day</v>
      </c>
      <c r="O143">
        <v>0.2</v>
      </c>
      <c r="P143">
        <v>0.21210000000000001</v>
      </c>
      <c r="Q143">
        <v>0.69</v>
      </c>
      <c r="R143">
        <v>0.1343</v>
      </c>
      <c r="S143">
        <v>0</v>
      </c>
      <c r="T143">
        <v>1</v>
      </c>
      <c r="U143">
        <v>1</v>
      </c>
    </row>
    <row r="144" spans="1:21" x14ac:dyDescent="0.3">
      <c r="A144">
        <v>143</v>
      </c>
      <c r="B144" t="s">
        <v>17</v>
      </c>
      <c r="C144" t="str">
        <f t="shared" si="9"/>
        <v>07-Jan-2011</v>
      </c>
      <c r="D144">
        <v>1</v>
      </c>
      <c r="E144">
        <v>0</v>
      </c>
      <c r="F144">
        <v>1</v>
      </c>
      <c r="G144" t="str">
        <f t="shared" si="8"/>
        <v>Jan</v>
      </c>
      <c r="H144">
        <v>5</v>
      </c>
      <c r="I144">
        <f t="shared" si="10"/>
        <v>0</v>
      </c>
      <c r="J144" t="s">
        <v>126</v>
      </c>
      <c r="K144">
        <v>5</v>
      </c>
      <c r="L144" t="str">
        <f t="shared" si="11"/>
        <v>Weekday</v>
      </c>
      <c r="M144">
        <v>3</v>
      </c>
      <c r="N144" t="str" cm="1">
        <f t="array" ref="N144">_xlfn.IFS(M144=1,"Sunny Day",M144=2,"Cloudy Day",M144=3,"Rainy Day",M144=4,"Heavy Rain")</f>
        <v>Rainy Day</v>
      </c>
      <c r="O144">
        <v>0.22</v>
      </c>
      <c r="P144">
        <v>0.2727</v>
      </c>
      <c r="Q144">
        <v>0.55000000000000004</v>
      </c>
      <c r="R144">
        <v>0</v>
      </c>
      <c r="S144">
        <v>0</v>
      </c>
      <c r="T144">
        <v>5</v>
      </c>
      <c r="U144">
        <v>5</v>
      </c>
    </row>
    <row r="145" spans="1:21" x14ac:dyDescent="0.3">
      <c r="A145">
        <v>144</v>
      </c>
      <c r="B145" t="s">
        <v>17</v>
      </c>
      <c r="C145" t="str">
        <f t="shared" si="9"/>
        <v>07-Jan-2011</v>
      </c>
      <c r="D145">
        <v>1</v>
      </c>
      <c r="E145">
        <v>0</v>
      </c>
      <c r="F145">
        <v>1</v>
      </c>
      <c r="G145" t="str">
        <f t="shared" si="8"/>
        <v>Jan</v>
      </c>
      <c r="H145">
        <v>6</v>
      </c>
      <c r="I145">
        <f t="shared" si="10"/>
        <v>0</v>
      </c>
      <c r="J145" t="s">
        <v>126</v>
      </c>
      <c r="K145">
        <v>5</v>
      </c>
      <c r="L145" t="str">
        <f t="shared" si="11"/>
        <v>Weekday</v>
      </c>
      <c r="M145">
        <v>2</v>
      </c>
      <c r="N145" t="str" cm="1">
        <f t="array" ref="N145">_xlfn.IFS(M145=1,"Sunny Day",M145=2,"Cloudy Day",M145=3,"Rainy Day",M145=4,"Heavy Rain")</f>
        <v>Cloudy Day</v>
      </c>
      <c r="O145">
        <v>0.2</v>
      </c>
      <c r="P145">
        <v>0.2576</v>
      </c>
      <c r="Q145">
        <v>0.69</v>
      </c>
      <c r="R145">
        <v>0</v>
      </c>
      <c r="S145">
        <v>8</v>
      </c>
      <c r="T145">
        <v>26</v>
      </c>
      <c r="U145">
        <v>34</v>
      </c>
    </row>
    <row r="146" spans="1:21" x14ac:dyDescent="0.3">
      <c r="A146">
        <v>145</v>
      </c>
      <c r="B146" t="s">
        <v>17</v>
      </c>
      <c r="C146" t="str">
        <f t="shared" si="9"/>
        <v>07-Jan-2011</v>
      </c>
      <c r="D146">
        <v>1</v>
      </c>
      <c r="E146">
        <v>0</v>
      </c>
      <c r="F146">
        <v>1</v>
      </c>
      <c r="G146" t="str">
        <f t="shared" si="8"/>
        <v>Jan</v>
      </c>
      <c r="H146">
        <v>7</v>
      </c>
      <c r="I146">
        <f t="shared" si="10"/>
        <v>0</v>
      </c>
      <c r="J146" t="s">
        <v>126</v>
      </c>
      <c r="K146">
        <v>5</v>
      </c>
      <c r="L146" t="str">
        <f t="shared" si="11"/>
        <v>Weekday</v>
      </c>
      <c r="M146">
        <v>1</v>
      </c>
      <c r="N146" t="str" cm="1">
        <f t="array" ref="N146">_xlfn.IFS(M146=1,"Sunny Day",M146=2,"Cloudy Day",M146=3,"Rainy Day",M146=4,"Heavy Rain")</f>
        <v>Sunny Day</v>
      </c>
      <c r="O146">
        <v>0.2</v>
      </c>
      <c r="P146">
        <v>0.21210000000000001</v>
      </c>
      <c r="Q146">
        <v>0.69</v>
      </c>
      <c r="R146">
        <v>0.1343</v>
      </c>
      <c r="S146">
        <v>8</v>
      </c>
      <c r="T146">
        <v>76</v>
      </c>
      <c r="U146">
        <v>84</v>
      </c>
    </row>
    <row r="147" spans="1:21" x14ac:dyDescent="0.3">
      <c r="A147">
        <v>146</v>
      </c>
      <c r="B147" t="s">
        <v>17</v>
      </c>
      <c r="C147" t="str">
        <f t="shared" si="9"/>
        <v>07-Jan-2011</v>
      </c>
      <c r="D147">
        <v>1</v>
      </c>
      <c r="E147">
        <v>0</v>
      </c>
      <c r="F147">
        <v>1</v>
      </c>
      <c r="G147" t="str">
        <f t="shared" si="8"/>
        <v>Jan</v>
      </c>
      <c r="H147">
        <v>8</v>
      </c>
      <c r="I147">
        <f t="shared" si="10"/>
        <v>0</v>
      </c>
      <c r="J147" t="s">
        <v>126</v>
      </c>
      <c r="K147">
        <v>5</v>
      </c>
      <c r="L147" t="str">
        <f t="shared" si="11"/>
        <v>Weekday</v>
      </c>
      <c r="M147">
        <v>1</v>
      </c>
      <c r="N147" t="str" cm="1">
        <f t="array" ref="N147">_xlfn.IFS(M147=1,"Sunny Day",M147=2,"Cloudy Day",M147=3,"Rainy Day",M147=4,"Heavy Rain")</f>
        <v>Sunny Day</v>
      </c>
      <c r="O147">
        <v>0.2</v>
      </c>
      <c r="P147">
        <v>0.19700000000000001</v>
      </c>
      <c r="Q147">
        <v>0.51</v>
      </c>
      <c r="R147">
        <v>0.25369999999999998</v>
      </c>
      <c r="S147">
        <v>20</v>
      </c>
      <c r="T147">
        <v>190</v>
      </c>
      <c r="U147">
        <v>210</v>
      </c>
    </row>
    <row r="148" spans="1:21" x14ac:dyDescent="0.3">
      <c r="A148">
        <v>147</v>
      </c>
      <c r="B148" t="s">
        <v>17</v>
      </c>
      <c r="C148" t="str">
        <f t="shared" si="9"/>
        <v>07-Jan-2011</v>
      </c>
      <c r="D148">
        <v>1</v>
      </c>
      <c r="E148">
        <v>0</v>
      </c>
      <c r="F148">
        <v>1</v>
      </c>
      <c r="G148" t="str">
        <f t="shared" si="8"/>
        <v>Jan</v>
      </c>
      <c r="H148">
        <v>9</v>
      </c>
      <c r="I148">
        <f t="shared" si="10"/>
        <v>0</v>
      </c>
      <c r="J148" t="s">
        <v>126</v>
      </c>
      <c r="K148">
        <v>5</v>
      </c>
      <c r="L148" t="str">
        <f t="shared" si="11"/>
        <v>Weekday</v>
      </c>
      <c r="M148">
        <v>1</v>
      </c>
      <c r="N148" t="str" cm="1">
        <f t="array" ref="N148">_xlfn.IFS(M148=1,"Sunny Day",M148=2,"Cloudy Day",M148=3,"Rainy Day",M148=4,"Heavy Rain")</f>
        <v>Sunny Day</v>
      </c>
      <c r="O148">
        <v>0.2</v>
      </c>
      <c r="P148">
        <v>0.18179999999999999</v>
      </c>
      <c r="Q148">
        <v>0.47</v>
      </c>
      <c r="R148">
        <v>0.29849999999999999</v>
      </c>
      <c r="S148">
        <v>9</v>
      </c>
      <c r="T148">
        <v>125</v>
      </c>
      <c r="U148">
        <v>134</v>
      </c>
    </row>
    <row r="149" spans="1:21" x14ac:dyDescent="0.3">
      <c r="A149">
        <v>148</v>
      </c>
      <c r="B149" t="s">
        <v>17</v>
      </c>
      <c r="C149" t="str">
        <f t="shared" si="9"/>
        <v>07-Jan-2011</v>
      </c>
      <c r="D149">
        <v>1</v>
      </c>
      <c r="E149">
        <v>0</v>
      </c>
      <c r="F149">
        <v>1</v>
      </c>
      <c r="G149" t="str">
        <f t="shared" si="8"/>
        <v>Jan</v>
      </c>
      <c r="H149">
        <v>10</v>
      </c>
      <c r="I149">
        <f t="shared" si="10"/>
        <v>0</v>
      </c>
      <c r="J149" t="s">
        <v>126</v>
      </c>
      <c r="K149">
        <v>5</v>
      </c>
      <c r="L149" t="str">
        <f t="shared" si="11"/>
        <v>Weekday</v>
      </c>
      <c r="M149">
        <v>1</v>
      </c>
      <c r="N149" t="str" cm="1">
        <f t="array" ref="N149">_xlfn.IFS(M149=1,"Sunny Day",M149=2,"Cloudy Day",M149=3,"Rainy Day",M149=4,"Heavy Rain")</f>
        <v>Sunny Day</v>
      </c>
      <c r="O149">
        <v>0.22</v>
      </c>
      <c r="P149">
        <v>0.19700000000000001</v>
      </c>
      <c r="Q149">
        <v>0.37</v>
      </c>
      <c r="R149">
        <v>0.32840000000000003</v>
      </c>
      <c r="S149">
        <v>16</v>
      </c>
      <c r="T149">
        <v>47</v>
      </c>
      <c r="U149">
        <v>63</v>
      </c>
    </row>
    <row r="150" spans="1:21" x14ac:dyDescent="0.3">
      <c r="A150">
        <v>149</v>
      </c>
      <c r="B150" t="s">
        <v>17</v>
      </c>
      <c r="C150" t="str">
        <f t="shared" si="9"/>
        <v>07-Jan-2011</v>
      </c>
      <c r="D150">
        <v>1</v>
      </c>
      <c r="E150">
        <v>0</v>
      </c>
      <c r="F150">
        <v>1</v>
      </c>
      <c r="G150" t="str">
        <f t="shared" si="8"/>
        <v>Jan</v>
      </c>
      <c r="H150">
        <v>11</v>
      </c>
      <c r="I150">
        <f t="shared" si="10"/>
        <v>1</v>
      </c>
      <c r="J150" t="s">
        <v>126</v>
      </c>
      <c r="K150">
        <v>5</v>
      </c>
      <c r="L150" t="str">
        <f t="shared" si="11"/>
        <v>Weekday</v>
      </c>
      <c r="M150">
        <v>2</v>
      </c>
      <c r="N150" t="str" cm="1">
        <f t="array" ref="N150">_xlfn.IFS(M150=1,"Sunny Day",M150=2,"Cloudy Day",M150=3,"Rainy Day",M150=4,"Heavy Rain")</f>
        <v>Cloudy Day</v>
      </c>
      <c r="O150">
        <v>0.2</v>
      </c>
      <c r="P150">
        <v>0.19700000000000001</v>
      </c>
      <c r="Q150">
        <v>0.4</v>
      </c>
      <c r="R150">
        <v>0.22389999999999999</v>
      </c>
      <c r="S150">
        <v>19</v>
      </c>
      <c r="T150">
        <v>48</v>
      </c>
      <c r="U150">
        <v>67</v>
      </c>
    </row>
    <row r="151" spans="1:21" x14ac:dyDescent="0.3">
      <c r="A151">
        <v>150</v>
      </c>
      <c r="B151" t="s">
        <v>17</v>
      </c>
      <c r="C151" t="str">
        <f t="shared" si="9"/>
        <v>07-Jan-2011</v>
      </c>
      <c r="D151">
        <v>1</v>
      </c>
      <c r="E151">
        <v>0</v>
      </c>
      <c r="F151">
        <v>1</v>
      </c>
      <c r="G151" t="str">
        <f t="shared" si="8"/>
        <v>Jan</v>
      </c>
      <c r="H151">
        <v>12</v>
      </c>
      <c r="I151">
        <f t="shared" si="10"/>
        <v>1</v>
      </c>
      <c r="J151" t="s">
        <v>126</v>
      </c>
      <c r="K151">
        <v>5</v>
      </c>
      <c r="L151" t="str">
        <f t="shared" si="11"/>
        <v>Weekday</v>
      </c>
      <c r="M151">
        <v>2</v>
      </c>
      <c r="N151" t="str" cm="1">
        <f t="array" ref="N151">_xlfn.IFS(M151=1,"Sunny Day",M151=2,"Cloudy Day",M151=3,"Rainy Day",M151=4,"Heavy Rain")</f>
        <v>Cloudy Day</v>
      </c>
      <c r="O151">
        <v>0.2</v>
      </c>
      <c r="P151">
        <v>0.19700000000000001</v>
      </c>
      <c r="Q151">
        <v>0.37</v>
      </c>
      <c r="R151">
        <v>0.25369999999999998</v>
      </c>
      <c r="S151">
        <v>9</v>
      </c>
      <c r="T151">
        <v>50</v>
      </c>
      <c r="U151">
        <v>59</v>
      </c>
    </row>
    <row r="152" spans="1:21" x14ac:dyDescent="0.3">
      <c r="A152">
        <v>151</v>
      </c>
      <c r="B152" t="s">
        <v>17</v>
      </c>
      <c r="C152" t="str">
        <f t="shared" si="9"/>
        <v>07-Jan-2011</v>
      </c>
      <c r="D152">
        <v>1</v>
      </c>
      <c r="E152">
        <v>0</v>
      </c>
      <c r="F152">
        <v>1</v>
      </c>
      <c r="G152" t="str">
        <f t="shared" si="8"/>
        <v>Jan</v>
      </c>
      <c r="H152">
        <v>13</v>
      </c>
      <c r="I152">
        <f t="shared" si="10"/>
        <v>1</v>
      </c>
      <c r="J152" t="s">
        <v>126</v>
      </c>
      <c r="K152">
        <v>5</v>
      </c>
      <c r="L152" t="str">
        <f t="shared" si="11"/>
        <v>Weekday</v>
      </c>
      <c r="M152">
        <v>2</v>
      </c>
      <c r="N152" t="str" cm="1">
        <f t="array" ref="N152">_xlfn.IFS(M152=1,"Sunny Day",M152=2,"Cloudy Day",M152=3,"Rainy Day",M152=4,"Heavy Rain")</f>
        <v>Cloudy Day</v>
      </c>
      <c r="O152">
        <v>0.2</v>
      </c>
      <c r="P152">
        <v>0.18179999999999999</v>
      </c>
      <c r="Q152">
        <v>0.37</v>
      </c>
      <c r="R152">
        <v>0.28360000000000002</v>
      </c>
      <c r="S152">
        <v>9</v>
      </c>
      <c r="T152">
        <v>64</v>
      </c>
      <c r="U152">
        <v>73</v>
      </c>
    </row>
    <row r="153" spans="1:21" x14ac:dyDescent="0.3">
      <c r="A153">
        <v>152</v>
      </c>
      <c r="B153" t="s">
        <v>17</v>
      </c>
      <c r="C153" t="str">
        <f t="shared" si="9"/>
        <v>07-Jan-2011</v>
      </c>
      <c r="D153">
        <v>1</v>
      </c>
      <c r="E153">
        <v>0</v>
      </c>
      <c r="F153">
        <v>1</v>
      </c>
      <c r="G153" t="str">
        <f t="shared" si="8"/>
        <v>Jan</v>
      </c>
      <c r="H153">
        <v>14</v>
      </c>
      <c r="I153">
        <f t="shared" si="10"/>
        <v>1</v>
      </c>
      <c r="J153" t="s">
        <v>126</v>
      </c>
      <c r="K153">
        <v>5</v>
      </c>
      <c r="L153" t="str">
        <f t="shared" si="11"/>
        <v>Weekday</v>
      </c>
      <c r="M153">
        <v>2</v>
      </c>
      <c r="N153" t="str" cm="1">
        <f t="array" ref="N153">_xlfn.IFS(M153=1,"Sunny Day",M153=2,"Cloudy Day",M153=3,"Rainy Day",M153=4,"Heavy Rain")</f>
        <v>Cloudy Day</v>
      </c>
      <c r="O153">
        <v>0.2</v>
      </c>
      <c r="P153">
        <v>0.19700000000000001</v>
      </c>
      <c r="Q153">
        <v>0.4</v>
      </c>
      <c r="R153">
        <v>0.25369999999999998</v>
      </c>
      <c r="S153">
        <v>7</v>
      </c>
      <c r="T153">
        <v>43</v>
      </c>
      <c r="U153">
        <v>50</v>
      </c>
    </row>
    <row r="154" spans="1:21" x14ac:dyDescent="0.3">
      <c r="A154">
        <v>153</v>
      </c>
      <c r="B154" t="s">
        <v>17</v>
      </c>
      <c r="C154" t="str">
        <f t="shared" si="9"/>
        <v>07-Jan-2011</v>
      </c>
      <c r="D154">
        <v>1</v>
      </c>
      <c r="E154">
        <v>0</v>
      </c>
      <c r="F154">
        <v>1</v>
      </c>
      <c r="G154" t="str">
        <f t="shared" si="8"/>
        <v>Jan</v>
      </c>
      <c r="H154">
        <v>15</v>
      </c>
      <c r="I154">
        <f t="shared" si="10"/>
        <v>1</v>
      </c>
      <c r="J154" t="s">
        <v>126</v>
      </c>
      <c r="K154">
        <v>5</v>
      </c>
      <c r="L154" t="str">
        <f t="shared" si="11"/>
        <v>Weekday</v>
      </c>
      <c r="M154">
        <v>2</v>
      </c>
      <c r="N154" t="str" cm="1">
        <f t="array" ref="N154">_xlfn.IFS(M154=1,"Sunny Day",M154=2,"Cloudy Day",M154=3,"Rainy Day",M154=4,"Heavy Rain")</f>
        <v>Cloudy Day</v>
      </c>
      <c r="O154">
        <v>0.2</v>
      </c>
      <c r="P154">
        <v>0.21210000000000001</v>
      </c>
      <c r="Q154">
        <v>0.37</v>
      </c>
      <c r="R154">
        <v>0.16420000000000001</v>
      </c>
      <c r="S154">
        <v>9</v>
      </c>
      <c r="T154">
        <v>63</v>
      </c>
      <c r="U154">
        <v>72</v>
      </c>
    </row>
    <row r="155" spans="1:21" x14ac:dyDescent="0.3">
      <c r="A155">
        <v>154</v>
      </c>
      <c r="B155" t="s">
        <v>17</v>
      </c>
      <c r="C155" t="str">
        <f t="shared" si="9"/>
        <v>07-Jan-2011</v>
      </c>
      <c r="D155">
        <v>1</v>
      </c>
      <c r="E155">
        <v>0</v>
      </c>
      <c r="F155">
        <v>1</v>
      </c>
      <c r="G155" t="str">
        <f t="shared" si="8"/>
        <v>Jan</v>
      </c>
      <c r="H155">
        <v>16</v>
      </c>
      <c r="I155">
        <f t="shared" si="10"/>
        <v>1</v>
      </c>
      <c r="J155" t="s">
        <v>126</v>
      </c>
      <c r="K155">
        <v>5</v>
      </c>
      <c r="L155" t="str">
        <f t="shared" si="11"/>
        <v>Weekday</v>
      </c>
      <c r="M155">
        <v>2</v>
      </c>
      <c r="N155" t="str" cm="1">
        <f t="array" ref="N155">_xlfn.IFS(M155=1,"Sunny Day",M155=2,"Cloudy Day",M155=3,"Rainy Day",M155=4,"Heavy Rain")</f>
        <v>Cloudy Day</v>
      </c>
      <c r="O155">
        <v>0.2</v>
      </c>
      <c r="P155">
        <v>0.21210000000000001</v>
      </c>
      <c r="Q155">
        <v>0.37</v>
      </c>
      <c r="R155">
        <v>0.16420000000000001</v>
      </c>
      <c r="S155">
        <v>5</v>
      </c>
      <c r="T155">
        <v>82</v>
      </c>
      <c r="U155">
        <v>87</v>
      </c>
    </row>
    <row r="156" spans="1:21" x14ac:dyDescent="0.3">
      <c r="A156">
        <v>155</v>
      </c>
      <c r="B156" t="s">
        <v>17</v>
      </c>
      <c r="C156" t="str">
        <f t="shared" si="9"/>
        <v>07-Jan-2011</v>
      </c>
      <c r="D156">
        <v>1</v>
      </c>
      <c r="E156">
        <v>0</v>
      </c>
      <c r="F156">
        <v>1</v>
      </c>
      <c r="G156" t="str">
        <f t="shared" si="8"/>
        <v>Jan</v>
      </c>
      <c r="H156">
        <v>17</v>
      </c>
      <c r="I156">
        <f t="shared" si="10"/>
        <v>1</v>
      </c>
      <c r="J156" t="s">
        <v>126</v>
      </c>
      <c r="K156">
        <v>5</v>
      </c>
      <c r="L156" t="str">
        <f t="shared" si="11"/>
        <v>Weekday</v>
      </c>
      <c r="M156">
        <v>2</v>
      </c>
      <c r="N156" t="str" cm="1">
        <f t="array" ref="N156">_xlfn.IFS(M156=1,"Sunny Day",M156=2,"Cloudy Day",M156=3,"Rainy Day",M156=4,"Heavy Rain")</f>
        <v>Cloudy Day</v>
      </c>
      <c r="O156">
        <v>0.2</v>
      </c>
      <c r="P156">
        <v>0.2576</v>
      </c>
      <c r="Q156">
        <v>0.37</v>
      </c>
      <c r="R156">
        <v>0</v>
      </c>
      <c r="S156">
        <v>9</v>
      </c>
      <c r="T156">
        <v>178</v>
      </c>
      <c r="U156">
        <v>187</v>
      </c>
    </row>
    <row r="157" spans="1:21" x14ac:dyDescent="0.3">
      <c r="A157">
        <v>156</v>
      </c>
      <c r="B157" t="s">
        <v>17</v>
      </c>
      <c r="C157" t="str">
        <f t="shared" si="9"/>
        <v>07-Jan-2011</v>
      </c>
      <c r="D157">
        <v>1</v>
      </c>
      <c r="E157">
        <v>0</v>
      </c>
      <c r="F157">
        <v>1</v>
      </c>
      <c r="G157" t="str">
        <f t="shared" si="8"/>
        <v>Jan</v>
      </c>
      <c r="H157">
        <v>18</v>
      </c>
      <c r="I157">
        <f t="shared" si="10"/>
        <v>1</v>
      </c>
      <c r="J157" t="s">
        <v>126</v>
      </c>
      <c r="K157">
        <v>5</v>
      </c>
      <c r="L157" t="str">
        <f t="shared" si="11"/>
        <v>Weekday</v>
      </c>
      <c r="M157">
        <v>1</v>
      </c>
      <c r="N157" t="str" cm="1">
        <f t="array" ref="N157">_xlfn.IFS(M157=1,"Sunny Day",M157=2,"Cloudy Day",M157=3,"Rainy Day",M157=4,"Heavy Rain")</f>
        <v>Sunny Day</v>
      </c>
      <c r="O157">
        <v>0.2</v>
      </c>
      <c r="P157">
        <v>0.2273</v>
      </c>
      <c r="Q157">
        <v>0.4</v>
      </c>
      <c r="R157">
        <v>8.9599999999999999E-2</v>
      </c>
      <c r="S157">
        <v>7</v>
      </c>
      <c r="T157">
        <v>116</v>
      </c>
      <c r="U157">
        <v>123</v>
      </c>
    </row>
    <row r="158" spans="1:21" x14ac:dyDescent="0.3">
      <c r="A158">
        <v>157</v>
      </c>
      <c r="B158" t="s">
        <v>17</v>
      </c>
      <c r="C158" t="str">
        <f t="shared" si="9"/>
        <v>07-Jan-2011</v>
      </c>
      <c r="D158">
        <v>1</v>
      </c>
      <c r="E158">
        <v>0</v>
      </c>
      <c r="F158">
        <v>1</v>
      </c>
      <c r="G158" t="str">
        <f t="shared" si="8"/>
        <v>Jan</v>
      </c>
      <c r="H158">
        <v>19</v>
      </c>
      <c r="I158">
        <f t="shared" si="10"/>
        <v>1</v>
      </c>
      <c r="J158" t="s">
        <v>126</v>
      </c>
      <c r="K158">
        <v>5</v>
      </c>
      <c r="L158" t="str">
        <f t="shared" si="11"/>
        <v>Weekday</v>
      </c>
      <c r="M158">
        <v>1</v>
      </c>
      <c r="N158" t="str" cm="1">
        <f t="array" ref="N158">_xlfn.IFS(M158=1,"Sunny Day",M158=2,"Cloudy Day",M158=3,"Rainy Day",M158=4,"Heavy Rain")</f>
        <v>Sunny Day</v>
      </c>
      <c r="O158">
        <v>0.16</v>
      </c>
      <c r="P158">
        <v>0.19700000000000001</v>
      </c>
      <c r="Q158">
        <v>0.55000000000000004</v>
      </c>
      <c r="R158">
        <v>8.9599999999999999E-2</v>
      </c>
      <c r="S158">
        <v>3</v>
      </c>
      <c r="T158">
        <v>92</v>
      </c>
      <c r="U158">
        <v>95</v>
      </c>
    </row>
    <row r="159" spans="1:21" x14ac:dyDescent="0.3">
      <c r="A159">
        <v>158</v>
      </c>
      <c r="B159" t="s">
        <v>17</v>
      </c>
      <c r="C159" t="str">
        <f t="shared" si="9"/>
        <v>07-Jan-2011</v>
      </c>
      <c r="D159">
        <v>1</v>
      </c>
      <c r="E159">
        <v>0</v>
      </c>
      <c r="F159">
        <v>1</v>
      </c>
      <c r="G159" t="str">
        <f t="shared" si="8"/>
        <v>Jan</v>
      </c>
      <c r="H159">
        <v>20</v>
      </c>
      <c r="I159">
        <f t="shared" si="10"/>
        <v>1</v>
      </c>
      <c r="J159" t="s">
        <v>126</v>
      </c>
      <c r="K159">
        <v>5</v>
      </c>
      <c r="L159" t="str">
        <f t="shared" si="11"/>
        <v>Weekday</v>
      </c>
      <c r="M159">
        <v>1</v>
      </c>
      <c r="N159" t="str" cm="1">
        <f t="array" ref="N159">_xlfn.IFS(M159=1,"Sunny Day",M159=2,"Cloudy Day",M159=3,"Rainy Day",M159=4,"Heavy Rain")</f>
        <v>Sunny Day</v>
      </c>
      <c r="O159">
        <v>0.18</v>
      </c>
      <c r="P159">
        <v>0.21210000000000001</v>
      </c>
      <c r="Q159">
        <v>0.47</v>
      </c>
      <c r="R159">
        <v>0.1045</v>
      </c>
      <c r="S159">
        <v>1</v>
      </c>
      <c r="T159">
        <v>50</v>
      </c>
      <c r="U159">
        <v>51</v>
      </c>
    </row>
    <row r="160" spans="1:21" x14ac:dyDescent="0.3">
      <c r="A160">
        <v>159</v>
      </c>
      <c r="B160" t="s">
        <v>17</v>
      </c>
      <c r="C160" t="str">
        <f t="shared" si="9"/>
        <v>07-Jan-2011</v>
      </c>
      <c r="D160">
        <v>1</v>
      </c>
      <c r="E160">
        <v>0</v>
      </c>
      <c r="F160">
        <v>1</v>
      </c>
      <c r="G160" t="str">
        <f t="shared" si="8"/>
        <v>Jan</v>
      </c>
      <c r="H160">
        <v>21</v>
      </c>
      <c r="I160">
        <f t="shared" si="10"/>
        <v>1</v>
      </c>
      <c r="J160" t="s">
        <v>126</v>
      </c>
      <c r="K160">
        <v>5</v>
      </c>
      <c r="L160" t="str">
        <f t="shared" si="11"/>
        <v>Weekday</v>
      </c>
      <c r="M160">
        <v>1</v>
      </c>
      <c r="N160" t="str" cm="1">
        <f t="array" ref="N160">_xlfn.IFS(M160=1,"Sunny Day",M160=2,"Cloudy Day",M160=3,"Rainy Day",M160=4,"Heavy Rain")</f>
        <v>Sunny Day</v>
      </c>
      <c r="O160">
        <v>0.18</v>
      </c>
      <c r="P160">
        <v>0.19700000000000001</v>
      </c>
      <c r="Q160">
        <v>0.47</v>
      </c>
      <c r="R160">
        <v>0.1343</v>
      </c>
      <c r="S160">
        <v>0</v>
      </c>
      <c r="T160">
        <v>39</v>
      </c>
      <c r="U160">
        <v>39</v>
      </c>
    </row>
    <row r="161" spans="1:21" x14ac:dyDescent="0.3">
      <c r="A161">
        <v>160</v>
      </c>
      <c r="B161" t="s">
        <v>17</v>
      </c>
      <c r="C161" t="str">
        <f t="shared" si="9"/>
        <v>07-Jan-2011</v>
      </c>
      <c r="D161">
        <v>1</v>
      </c>
      <c r="E161">
        <v>0</v>
      </c>
      <c r="F161">
        <v>1</v>
      </c>
      <c r="G161" t="str">
        <f t="shared" si="8"/>
        <v>Jan</v>
      </c>
      <c r="H161">
        <v>22</v>
      </c>
      <c r="I161">
        <f t="shared" si="10"/>
        <v>1</v>
      </c>
      <c r="J161" t="s">
        <v>126</v>
      </c>
      <c r="K161">
        <v>5</v>
      </c>
      <c r="L161" t="str">
        <f t="shared" si="11"/>
        <v>Weekday</v>
      </c>
      <c r="M161">
        <v>2</v>
      </c>
      <c r="N161" t="str" cm="1">
        <f t="array" ref="N161">_xlfn.IFS(M161=1,"Sunny Day",M161=2,"Cloudy Day",M161=3,"Rainy Day",M161=4,"Heavy Rain")</f>
        <v>Cloudy Day</v>
      </c>
      <c r="O161">
        <v>0.18</v>
      </c>
      <c r="P161">
        <v>0.19700000000000001</v>
      </c>
      <c r="Q161">
        <v>0.43</v>
      </c>
      <c r="R161">
        <v>0.16420000000000001</v>
      </c>
      <c r="S161">
        <v>2</v>
      </c>
      <c r="T161">
        <v>34</v>
      </c>
      <c r="U161">
        <v>36</v>
      </c>
    </row>
    <row r="162" spans="1:21" x14ac:dyDescent="0.3">
      <c r="A162">
        <v>161</v>
      </c>
      <c r="B162" t="s">
        <v>17</v>
      </c>
      <c r="C162" t="str">
        <f t="shared" si="9"/>
        <v>07-Jan-2011</v>
      </c>
      <c r="D162">
        <v>1</v>
      </c>
      <c r="E162">
        <v>0</v>
      </c>
      <c r="F162">
        <v>1</v>
      </c>
      <c r="G162" t="str">
        <f t="shared" si="8"/>
        <v>Jan</v>
      </c>
      <c r="H162">
        <v>23</v>
      </c>
      <c r="I162">
        <f t="shared" si="10"/>
        <v>1</v>
      </c>
      <c r="J162" t="s">
        <v>126</v>
      </c>
      <c r="K162">
        <v>5</v>
      </c>
      <c r="L162" t="str">
        <f t="shared" si="11"/>
        <v>Weekday</v>
      </c>
      <c r="M162">
        <v>2</v>
      </c>
      <c r="N162" t="str" cm="1">
        <f t="array" ref="N162">_xlfn.IFS(M162=1,"Sunny Day",M162=2,"Cloudy Day",M162=3,"Rainy Day",M162=4,"Heavy Rain")</f>
        <v>Cloudy Day</v>
      </c>
      <c r="O162">
        <v>0.18</v>
      </c>
      <c r="P162">
        <v>0.19700000000000001</v>
      </c>
      <c r="Q162">
        <v>0.51</v>
      </c>
      <c r="R162">
        <v>0.16420000000000001</v>
      </c>
      <c r="S162">
        <v>1</v>
      </c>
      <c r="T162">
        <v>14</v>
      </c>
      <c r="U162">
        <v>15</v>
      </c>
    </row>
    <row r="163" spans="1:21" x14ac:dyDescent="0.3">
      <c r="A163">
        <v>162</v>
      </c>
      <c r="B163" t="s">
        <v>19</v>
      </c>
      <c r="C163" t="str">
        <f t="shared" si="9"/>
        <v>08-Jan-2011</v>
      </c>
      <c r="D163">
        <v>1</v>
      </c>
      <c r="E163">
        <v>0</v>
      </c>
      <c r="F163">
        <v>1</v>
      </c>
      <c r="G163" t="str">
        <f t="shared" si="8"/>
        <v>Jan</v>
      </c>
      <c r="H163">
        <v>0</v>
      </c>
      <c r="I163">
        <f t="shared" si="10"/>
        <v>0</v>
      </c>
      <c r="J163" t="s">
        <v>125</v>
      </c>
      <c r="K163">
        <v>6</v>
      </c>
      <c r="L163" t="str">
        <f t="shared" si="11"/>
        <v>Weekend</v>
      </c>
      <c r="M163">
        <v>2</v>
      </c>
      <c r="N163" t="str" cm="1">
        <f t="array" ref="N163">_xlfn.IFS(M163=1,"Sunny Day",M163=2,"Cloudy Day",M163=3,"Rainy Day",M163=4,"Heavy Rain")</f>
        <v>Cloudy Day</v>
      </c>
      <c r="O163">
        <v>0.18</v>
      </c>
      <c r="P163">
        <v>0.19700000000000001</v>
      </c>
      <c r="Q163">
        <v>0.51</v>
      </c>
      <c r="R163">
        <v>0.16420000000000001</v>
      </c>
      <c r="S163">
        <v>1</v>
      </c>
      <c r="T163">
        <v>24</v>
      </c>
      <c r="U163">
        <v>25</v>
      </c>
    </row>
    <row r="164" spans="1:21" x14ac:dyDescent="0.3">
      <c r="A164">
        <v>163</v>
      </c>
      <c r="B164" t="s">
        <v>19</v>
      </c>
      <c r="C164" t="str">
        <f t="shared" si="9"/>
        <v>08-Jan-2011</v>
      </c>
      <c r="D164">
        <v>1</v>
      </c>
      <c r="E164">
        <v>0</v>
      </c>
      <c r="F164">
        <v>1</v>
      </c>
      <c r="G164" t="str">
        <f t="shared" si="8"/>
        <v>Jan</v>
      </c>
      <c r="H164">
        <v>1</v>
      </c>
      <c r="I164">
        <f t="shared" si="10"/>
        <v>0</v>
      </c>
      <c r="J164" t="s">
        <v>125</v>
      </c>
      <c r="K164">
        <v>6</v>
      </c>
      <c r="L164" t="str">
        <f t="shared" si="11"/>
        <v>Weekend</v>
      </c>
      <c r="M164">
        <v>2</v>
      </c>
      <c r="N164" t="str" cm="1">
        <f t="array" ref="N164">_xlfn.IFS(M164=1,"Sunny Day",M164=2,"Cloudy Day",M164=3,"Rainy Day",M164=4,"Heavy Rain")</f>
        <v>Cloudy Day</v>
      </c>
      <c r="O164">
        <v>0.18</v>
      </c>
      <c r="P164">
        <v>0.21210000000000001</v>
      </c>
      <c r="Q164">
        <v>0.55000000000000004</v>
      </c>
      <c r="R164">
        <v>8.9599999999999999E-2</v>
      </c>
      <c r="S164">
        <v>1</v>
      </c>
      <c r="T164">
        <v>15</v>
      </c>
      <c r="U164">
        <v>16</v>
      </c>
    </row>
    <row r="165" spans="1:21" x14ac:dyDescent="0.3">
      <c r="A165">
        <v>164</v>
      </c>
      <c r="B165" t="s">
        <v>19</v>
      </c>
      <c r="C165" t="str">
        <f t="shared" si="9"/>
        <v>08-Jan-2011</v>
      </c>
      <c r="D165">
        <v>1</v>
      </c>
      <c r="E165">
        <v>0</v>
      </c>
      <c r="F165">
        <v>1</v>
      </c>
      <c r="G165" t="str">
        <f t="shared" si="8"/>
        <v>Jan</v>
      </c>
      <c r="H165">
        <v>2</v>
      </c>
      <c r="I165">
        <f t="shared" si="10"/>
        <v>0</v>
      </c>
      <c r="J165" t="s">
        <v>125</v>
      </c>
      <c r="K165">
        <v>6</v>
      </c>
      <c r="L165" t="str">
        <f t="shared" si="11"/>
        <v>Weekend</v>
      </c>
      <c r="M165">
        <v>2</v>
      </c>
      <c r="N165" t="str" cm="1">
        <f t="array" ref="N165">_xlfn.IFS(M165=1,"Sunny Day",M165=2,"Cloudy Day",M165=3,"Rainy Day",M165=4,"Heavy Rain")</f>
        <v>Cloudy Day</v>
      </c>
      <c r="O165">
        <v>0.18</v>
      </c>
      <c r="P165">
        <v>0.2424</v>
      </c>
      <c r="Q165">
        <v>0.55000000000000004</v>
      </c>
      <c r="R165">
        <v>0</v>
      </c>
      <c r="S165">
        <v>3</v>
      </c>
      <c r="T165">
        <v>13</v>
      </c>
      <c r="U165">
        <v>16</v>
      </c>
    </row>
    <row r="166" spans="1:21" x14ac:dyDescent="0.3">
      <c r="A166">
        <v>165</v>
      </c>
      <c r="B166" t="s">
        <v>19</v>
      </c>
      <c r="C166" t="str">
        <f t="shared" si="9"/>
        <v>08-Jan-2011</v>
      </c>
      <c r="D166">
        <v>1</v>
      </c>
      <c r="E166">
        <v>0</v>
      </c>
      <c r="F166">
        <v>1</v>
      </c>
      <c r="G166" t="str">
        <f t="shared" si="8"/>
        <v>Jan</v>
      </c>
      <c r="H166">
        <v>3</v>
      </c>
      <c r="I166">
        <f t="shared" si="10"/>
        <v>0</v>
      </c>
      <c r="J166" t="s">
        <v>125</v>
      </c>
      <c r="K166">
        <v>6</v>
      </c>
      <c r="L166" t="str">
        <f t="shared" si="11"/>
        <v>Weekend</v>
      </c>
      <c r="M166">
        <v>3</v>
      </c>
      <c r="N166" t="str" cm="1">
        <f t="array" ref="N166">_xlfn.IFS(M166=1,"Sunny Day",M166=2,"Cloudy Day",M166=3,"Rainy Day",M166=4,"Heavy Rain")</f>
        <v>Rainy Day</v>
      </c>
      <c r="O166">
        <v>0.18</v>
      </c>
      <c r="P166">
        <v>0.19700000000000001</v>
      </c>
      <c r="Q166">
        <v>0.55000000000000004</v>
      </c>
      <c r="R166">
        <v>0.16420000000000001</v>
      </c>
      <c r="S166">
        <v>0</v>
      </c>
      <c r="T166">
        <v>7</v>
      </c>
      <c r="U166">
        <v>7</v>
      </c>
    </row>
    <row r="167" spans="1:21" x14ac:dyDescent="0.3">
      <c r="A167">
        <v>166</v>
      </c>
      <c r="B167" t="s">
        <v>19</v>
      </c>
      <c r="C167" t="str">
        <f t="shared" si="9"/>
        <v>08-Jan-2011</v>
      </c>
      <c r="D167">
        <v>1</v>
      </c>
      <c r="E167">
        <v>0</v>
      </c>
      <c r="F167">
        <v>1</v>
      </c>
      <c r="G167" t="str">
        <f t="shared" si="8"/>
        <v>Jan</v>
      </c>
      <c r="H167">
        <v>4</v>
      </c>
      <c r="I167">
        <f t="shared" si="10"/>
        <v>0</v>
      </c>
      <c r="J167" t="s">
        <v>125</v>
      </c>
      <c r="K167">
        <v>6</v>
      </c>
      <c r="L167" t="str">
        <f t="shared" si="11"/>
        <v>Weekend</v>
      </c>
      <c r="M167">
        <v>3</v>
      </c>
      <c r="N167" t="str" cm="1">
        <f t="array" ref="N167">_xlfn.IFS(M167=1,"Sunny Day",M167=2,"Cloudy Day",M167=3,"Rainy Day",M167=4,"Heavy Rain")</f>
        <v>Rainy Day</v>
      </c>
      <c r="O167">
        <v>0.18</v>
      </c>
      <c r="P167">
        <v>0.19700000000000001</v>
      </c>
      <c r="Q167">
        <v>0.55000000000000004</v>
      </c>
      <c r="R167">
        <v>0.16420000000000001</v>
      </c>
      <c r="S167">
        <v>0</v>
      </c>
      <c r="T167">
        <v>1</v>
      </c>
      <c r="U167">
        <v>1</v>
      </c>
    </row>
    <row r="168" spans="1:21" x14ac:dyDescent="0.3">
      <c r="A168">
        <v>167</v>
      </c>
      <c r="B168" t="s">
        <v>19</v>
      </c>
      <c r="C168" t="str">
        <f t="shared" si="9"/>
        <v>08-Jan-2011</v>
      </c>
      <c r="D168">
        <v>1</v>
      </c>
      <c r="E168">
        <v>0</v>
      </c>
      <c r="F168">
        <v>1</v>
      </c>
      <c r="G168" t="str">
        <f t="shared" si="8"/>
        <v>Jan</v>
      </c>
      <c r="H168">
        <v>5</v>
      </c>
      <c r="I168">
        <f t="shared" si="10"/>
        <v>0</v>
      </c>
      <c r="J168" t="s">
        <v>125</v>
      </c>
      <c r="K168">
        <v>6</v>
      </c>
      <c r="L168" t="str">
        <f t="shared" si="11"/>
        <v>Weekend</v>
      </c>
      <c r="M168">
        <v>2</v>
      </c>
      <c r="N168" t="str" cm="1">
        <f t="array" ref="N168">_xlfn.IFS(M168=1,"Sunny Day",M168=2,"Cloudy Day",M168=3,"Rainy Day",M168=4,"Heavy Rain")</f>
        <v>Cloudy Day</v>
      </c>
      <c r="O168">
        <v>0.16</v>
      </c>
      <c r="P168">
        <v>0.16669999999999999</v>
      </c>
      <c r="Q168">
        <v>0.74</v>
      </c>
      <c r="R168">
        <v>0.16420000000000001</v>
      </c>
      <c r="S168">
        <v>0</v>
      </c>
      <c r="T168">
        <v>5</v>
      </c>
      <c r="U168">
        <v>5</v>
      </c>
    </row>
    <row r="169" spans="1:21" x14ac:dyDescent="0.3">
      <c r="A169">
        <v>168</v>
      </c>
      <c r="B169" t="s">
        <v>19</v>
      </c>
      <c r="C169" t="str">
        <f t="shared" si="9"/>
        <v>08-Jan-2011</v>
      </c>
      <c r="D169">
        <v>1</v>
      </c>
      <c r="E169">
        <v>0</v>
      </c>
      <c r="F169">
        <v>1</v>
      </c>
      <c r="G169" t="str">
        <f t="shared" si="8"/>
        <v>Jan</v>
      </c>
      <c r="H169">
        <v>6</v>
      </c>
      <c r="I169">
        <f t="shared" si="10"/>
        <v>0</v>
      </c>
      <c r="J169" t="s">
        <v>125</v>
      </c>
      <c r="K169">
        <v>6</v>
      </c>
      <c r="L169" t="str">
        <f t="shared" si="11"/>
        <v>Weekend</v>
      </c>
      <c r="M169">
        <v>2</v>
      </c>
      <c r="N169" t="str" cm="1">
        <f t="array" ref="N169">_xlfn.IFS(M169=1,"Sunny Day",M169=2,"Cloudy Day",M169=3,"Rainy Day",M169=4,"Heavy Rain")</f>
        <v>Cloudy Day</v>
      </c>
      <c r="O169">
        <v>0.16</v>
      </c>
      <c r="P169">
        <v>0.16669999999999999</v>
      </c>
      <c r="Q169">
        <v>0.74</v>
      </c>
      <c r="R169">
        <v>0.16420000000000001</v>
      </c>
      <c r="S169">
        <v>0</v>
      </c>
      <c r="T169">
        <v>2</v>
      </c>
      <c r="U169">
        <v>2</v>
      </c>
    </row>
    <row r="170" spans="1:21" x14ac:dyDescent="0.3">
      <c r="A170">
        <v>169</v>
      </c>
      <c r="B170" t="s">
        <v>19</v>
      </c>
      <c r="C170" t="str">
        <f t="shared" si="9"/>
        <v>08-Jan-2011</v>
      </c>
      <c r="D170">
        <v>1</v>
      </c>
      <c r="E170">
        <v>0</v>
      </c>
      <c r="F170">
        <v>1</v>
      </c>
      <c r="G170" t="str">
        <f t="shared" si="8"/>
        <v>Jan</v>
      </c>
      <c r="H170">
        <v>7</v>
      </c>
      <c r="I170">
        <f t="shared" si="10"/>
        <v>0</v>
      </c>
      <c r="J170" t="s">
        <v>125</v>
      </c>
      <c r="K170">
        <v>6</v>
      </c>
      <c r="L170" t="str">
        <f t="shared" si="11"/>
        <v>Weekend</v>
      </c>
      <c r="M170">
        <v>2</v>
      </c>
      <c r="N170" t="str" cm="1">
        <f t="array" ref="N170">_xlfn.IFS(M170=1,"Sunny Day",M170=2,"Cloudy Day",M170=3,"Rainy Day",M170=4,"Heavy Rain")</f>
        <v>Cloudy Day</v>
      </c>
      <c r="O170">
        <v>0.16</v>
      </c>
      <c r="P170">
        <v>0.18179999999999999</v>
      </c>
      <c r="Q170">
        <v>0.74</v>
      </c>
      <c r="R170">
        <v>0.1045</v>
      </c>
      <c r="S170">
        <v>1</v>
      </c>
      <c r="T170">
        <v>8</v>
      </c>
      <c r="U170">
        <v>9</v>
      </c>
    </row>
    <row r="171" spans="1:21" x14ac:dyDescent="0.3">
      <c r="A171">
        <v>170</v>
      </c>
      <c r="B171" t="s">
        <v>19</v>
      </c>
      <c r="C171" t="str">
        <f t="shared" si="9"/>
        <v>08-Jan-2011</v>
      </c>
      <c r="D171">
        <v>1</v>
      </c>
      <c r="E171">
        <v>0</v>
      </c>
      <c r="F171">
        <v>1</v>
      </c>
      <c r="G171" t="str">
        <f t="shared" si="8"/>
        <v>Jan</v>
      </c>
      <c r="H171">
        <v>8</v>
      </c>
      <c r="I171">
        <f t="shared" si="10"/>
        <v>0</v>
      </c>
      <c r="J171" t="s">
        <v>125</v>
      </c>
      <c r="K171">
        <v>6</v>
      </c>
      <c r="L171" t="str">
        <f t="shared" si="11"/>
        <v>Weekend</v>
      </c>
      <c r="M171">
        <v>3</v>
      </c>
      <c r="N171" t="str" cm="1">
        <f t="array" ref="N171">_xlfn.IFS(M171=1,"Sunny Day",M171=2,"Cloudy Day",M171=3,"Rainy Day",M171=4,"Heavy Rain")</f>
        <v>Rainy Day</v>
      </c>
      <c r="O171">
        <v>0.16</v>
      </c>
      <c r="P171">
        <v>0.18179999999999999</v>
      </c>
      <c r="Q171">
        <v>0.93</v>
      </c>
      <c r="R171">
        <v>0.1045</v>
      </c>
      <c r="S171">
        <v>0</v>
      </c>
      <c r="T171">
        <v>15</v>
      </c>
      <c r="U171">
        <v>15</v>
      </c>
    </row>
    <row r="172" spans="1:21" x14ac:dyDescent="0.3">
      <c r="A172">
        <v>171</v>
      </c>
      <c r="B172" t="s">
        <v>19</v>
      </c>
      <c r="C172" t="str">
        <f t="shared" si="9"/>
        <v>08-Jan-2011</v>
      </c>
      <c r="D172">
        <v>1</v>
      </c>
      <c r="E172">
        <v>0</v>
      </c>
      <c r="F172">
        <v>1</v>
      </c>
      <c r="G172" t="str">
        <f t="shared" si="8"/>
        <v>Jan</v>
      </c>
      <c r="H172">
        <v>9</v>
      </c>
      <c r="I172">
        <f t="shared" si="10"/>
        <v>0</v>
      </c>
      <c r="J172" t="s">
        <v>125</v>
      </c>
      <c r="K172">
        <v>6</v>
      </c>
      <c r="L172" t="str">
        <f t="shared" si="11"/>
        <v>Weekend</v>
      </c>
      <c r="M172">
        <v>3</v>
      </c>
      <c r="N172" t="str" cm="1">
        <f t="array" ref="N172">_xlfn.IFS(M172=1,"Sunny Day",M172=2,"Cloudy Day",M172=3,"Rainy Day",M172=4,"Heavy Rain")</f>
        <v>Rainy Day</v>
      </c>
      <c r="O172">
        <v>0.16</v>
      </c>
      <c r="P172">
        <v>0.18179999999999999</v>
      </c>
      <c r="Q172">
        <v>0.93</v>
      </c>
      <c r="R172">
        <v>0.1045</v>
      </c>
      <c r="S172">
        <v>0</v>
      </c>
      <c r="T172">
        <v>20</v>
      </c>
      <c r="U172">
        <v>20</v>
      </c>
    </row>
    <row r="173" spans="1:21" x14ac:dyDescent="0.3">
      <c r="A173">
        <v>172</v>
      </c>
      <c r="B173" t="s">
        <v>19</v>
      </c>
      <c r="C173" t="str">
        <f t="shared" si="9"/>
        <v>08-Jan-2011</v>
      </c>
      <c r="D173">
        <v>1</v>
      </c>
      <c r="E173">
        <v>0</v>
      </c>
      <c r="F173">
        <v>1</v>
      </c>
      <c r="G173" t="str">
        <f t="shared" si="8"/>
        <v>Jan</v>
      </c>
      <c r="H173">
        <v>10</v>
      </c>
      <c r="I173">
        <f t="shared" si="10"/>
        <v>0</v>
      </c>
      <c r="J173" t="s">
        <v>125</v>
      </c>
      <c r="K173">
        <v>6</v>
      </c>
      <c r="L173" t="str">
        <f t="shared" si="11"/>
        <v>Weekend</v>
      </c>
      <c r="M173">
        <v>2</v>
      </c>
      <c r="N173" t="str" cm="1">
        <f t="array" ref="N173">_xlfn.IFS(M173=1,"Sunny Day",M173=2,"Cloudy Day",M173=3,"Rainy Day",M173=4,"Heavy Rain")</f>
        <v>Cloudy Day</v>
      </c>
      <c r="O173">
        <v>0.18</v>
      </c>
      <c r="P173">
        <v>0.19700000000000001</v>
      </c>
      <c r="Q173">
        <v>0.8</v>
      </c>
      <c r="R173">
        <v>0.16420000000000001</v>
      </c>
      <c r="S173">
        <v>5</v>
      </c>
      <c r="T173">
        <v>56</v>
      </c>
      <c r="U173">
        <v>61</v>
      </c>
    </row>
    <row r="174" spans="1:21" x14ac:dyDescent="0.3">
      <c r="A174">
        <v>173</v>
      </c>
      <c r="B174" t="s">
        <v>19</v>
      </c>
      <c r="C174" t="str">
        <f t="shared" si="9"/>
        <v>08-Jan-2011</v>
      </c>
      <c r="D174">
        <v>1</v>
      </c>
      <c r="E174">
        <v>0</v>
      </c>
      <c r="F174">
        <v>1</v>
      </c>
      <c r="G174" t="str">
        <f t="shared" si="8"/>
        <v>Jan</v>
      </c>
      <c r="H174">
        <v>11</v>
      </c>
      <c r="I174">
        <f t="shared" si="10"/>
        <v>1</v>
      </c>
      <c r="J174" t="s">
        <v>125</v>
      </c>
      <c r="K174">
        <v>6</v>
      </c>
      <c r="L174" t="str">
        <f t="shared" si="11"/>
        <v>Weekend</v>
      </c>
      <c r="M174">
        <v>2</v>
      </c>
      <c r="N174" t="str" cm="1">
        <f t="array" ref="N174">_xlfn.IFS(M174=1,"Sunny Day",M174=2,"Cloudy Day",M174=3,"Rainy Day",M174=4,"Heavy Rain")</f>
        <v>Cloudy Day</v>
      </c>
      <c r="O174">
        <v>0.2</v>
      </c>
      <c r="P174">
        <v>0.18179999999999999</v>
      </c>
      <c r="Q174">
        <v>0.69</v>
      </c>
      <c r="R174">
        <v>0.3881</v>
      </c>
      <c r="S174">
        <v>2</v>
      </c>
      <c r="T174">
        <v>60</v>
      </c>
      <c r="U174">
        <v>62</v>
      </c>
    </row>
    <row r="175" spans="1:21" x14ac:dyDescent="0.3">
      <c r="A175">
        <v>174</v>
      </c>
      <c r="B175" t="s">
        <v>19</v>
      </c>
      <c r="C175" t="str">
        <f t="shared" si="9"/>
        <v>08-Jan-2011</v>
      </c>
      <c r="D175">
        <v>1</v>
      </c>
      <c r="E175">
        <v>0</v>
      </c>
      <c r="F175">
        <v>1</v>
      </c>
      <c r="G175" t="str">
        <f t="shared" si="8"/>
        <v>Jan</v>
      </c>
      <c r="H175">
        <v>12</v>
      </c>
      <c r="I175">
        <f t="shared" si="10"/>
        <v>1</v>
      </c>
      <c r="J175" t="s">
        <v>125</v>
      </c>
      <c r="K175">
        <v>6</v>
      </c>
      <c r="L175" t="str">
        <f t="shared" si="11"/>
        <v>Weekend</v>
      </c>
      <c r="M175">
        <v>2</v>
      </c>
      <c r="N175" t="str" cm="1">
        <f t="array" ref="N175">_xlfn.IFS(M175=1,"Sunny Day",M175=2,"Cloudy Day",M175=3,"Rainy Day",M175=4,"Heavy Rain")</f>
        <v>Cloudy Day</v>
      </c>
      <c r="O175">
        <v>0.2</v>
      </c>
      <c r="P175">
        <v>0.18179999999999999</v>
      </c>
      <c r="Q175">
        <v>0.59</v>
      </c>
      <c r="R175">
        <v>0.35820000000000002</v>
      </c>
      <c r="S175">
        <v>8</v>
      </c>
      <c r="T175">
        <v>90</v>
      </c>
      <c r="U175">
        <v>98</v>
      </c>
    </row>
    <row r="176" spans="1:21" x14ac:dyDescent="0.3">
      <c r="A176">
        <v>175</v>
      </c>
      <c r="B176" t="s">
        <v>19</v>
      </c>
      <c r="C176" t="str">
        <f t="shared" si="9"/>
        <v>08-Jan-2011</v>
      </c>
      <c r="D176">
        <v>1</v>
      </c>
      <c r="E176">
        <v>0</v>
      </c>
      <c r="F176">
        <v>1</v>
      </c>
      <c r="G176" t="str">
        <f t="shared" si="8"/>
        <v>Jan</v>
      </c>
      <c r="H176">
        <v>13</v>
      </c>
      <c r="I176">
        <f t="shared" si="10"/>
        <v>1</v>
      </c>
      <c r="J176" t="s">
        <v>125</v>
      </c>
      <c r="K176">
        <v>6</v>
      </c>
      <c r="L176" t="str">
        <f t="shared" si="11"/>
        <v>Weekend</v>
      </c>
      <c r="M176">
        <v>1</v>
      </c>
      <c r="N176" t="str" cm="1">
        <f t="array" ref="N176">_xlfn.IFS(M176=1,"Sunny Day",M176=2,"Cloudy Day",M176=3,"Rainy Day",M176=4,"Heavy Rain")</f>
        <v>Sunny Day</v>
      </c>
      <c r="O176">
        <v>0.2</v>
      </c>
      <c r="P176">
        <v>0.18179999999999999</v>
      </c>
      <c r="Q176">
        <v>0.44</v>
      </c>
      <c r="R176">
        <v>0.32840000000000003</v>
      </c>
      <c r="S176">
        <v>7</v>
      </c>
      <c r="T176">
        <v>95</v>
      </c>
      <c r="U176">
        <v>102</v>
      </c>
    </row>
    <row r="177" spans="1:21" x14ac:dyDescent="0.3">
      <c r="A177">
        <v>176</v>
      </c>
      <c r="B177" t="s">
        <v>19</v>
      </c>
      <c r="C177" t="str">
        <f t="shared" si="9"/>
        <v>08-Jan-2011</v>
      </c>
      <c r="D177">
        <v>1</v>
      </c>
      <c r="E177">
        <v>0</v>
      </c>
      <c r="F177">
        <v>1</v>
      </c>
      <c r="G177" t="str">
        <f t="shared" si="8"/>
        <v>Jan</v>
      </c>
      <c r="H177">
        <v>14</v>
      </c>
      <c r="I177">
        <f t="shared" si="10"/>
        <v>1</v>
      </c>
      <c r="J177" t="s">
        <v>125</v>
      </c>
      <c r="K177">
        <v>6</v>
      </c>
      <c r="L177" t="str">
        <f t="shared" si="11"/>
        <v>Weekend</v>
      </c>
      <c r="M177">
        <v>1</v>
      </c>
      <c r="N177" t="str" cm="1">
        <f t="array" ref="N177">_xlfn.IFS(M177=1,"Sunny Day",M177=2,"Cloudy Day",M177=3,"Rainy Day",M177=4,"Heavy Rain")</f>
        <v>Sunny Day</v>
      </c>
      <c r="O177">
        <v>0.2</v>
      </c>
      <c r="P177">
        <v>0.16669999999999999</v>
      </c>
      <c r="Q177">
        <v>0.32</v>
      </c>
      <c r="R177">
        <v>0.49249999999999999</v>
      </c>
      <c r="S177">
        <v>12</v>
      </c>
      <c r="T177">
        <v>83</v>
      </c>
      <c r="U177">
        <v>95</v>
      </c>
    </row>
    <row r="178" spans="1:21" x14ac:dyDescent="0.3">
      <c r="A178">
        <v>177</v>
      </c>
      <c r="B178" t="s">
        <v>19</v>
      </c>
      <c r="C178" t="str">
        <f t="shared" si="9"/>
        <v>08-Jan-2011</v>
      </c>
      <c r="D178">
        <v>1</v>
      </c>
      <c r="E178">
        <v>0</v>
      </c>
      <c r="F178">
        <v>1</v>
      </c>
      <c r="G178" t="str">
        <f t="shared" si="8"/>
        <v>Jan</v>
      </c>
      <c r="H178">
        <v>15</v>
      </c>
      <c r="I178">
        <f t="shared" si="10"/>
        <v>1</v>
      </c>
      <c r="J178" t="s">
        <v>125</v>
      </c>
      <c r="K178">
        <v>6</v>
      </c>
      <c r="L178" t="str">
        <f t="shared" si="11"/>
        <v>Weekend</v>
      </c>
      <c r="M178">
        <v>1</v>
      </c>
      <c r="N178" t="str" cm="1">
        <f t="array" ref="N178">_xlfn.IFS(M178=1,"Sunny Day",M178=2,"Cloudy Day",M178=3,"Rainy Day",M178=4,"Heavy Rain")</f>
        <v>Sunny Day</v>
      </c>
      <c r="O178">
        <v>0.2</v>
      </c>
      <c r="P178">
        <v>0.16669999999999999</v>
      </c>
      <c r="Q178">
        <v>0.32</v>
      </c>
      <c r="R178">
        <v>0.44779999999999998</v>
      </c>
      <c r="S178">
        <v>5</v>
      </c>
      <c r="T178">
        <v>69</v>
      </c>
      <c r="U178">
        <v>74</v>
      </c>
    </row>
    <row r="179" spans="1:21" x14ac:dyDescent="0.3">
      <c r="A179">
        <v>178</v>
      </c>
      <c r="B179" t="s">
        <v>19</v>
      </c>
      <c r="C179" t="str">
        <f t="shared" si="9"/>
        <v>08-Jan-2011</v>
      </c>
      <c r="D179">
        <v>1</v>
      </c>
      <c r="E179">
        <v>0</v>
      </c>
      <c r="F179">
        <v>1</v>
      </c>
      <c r="G179" t="str">
        <f t="shared" si="8"/>
        <v>Jan</v>
      </c>
      <c r="H179">
        <v>16</v>
      </c>
      <c r="I179">
        <f t="shared" si="10"/>
        <v>1</v>
      </c>
      <c r="J179" t="s">
        <v>125</v>
      </c>
      <c r="K179">
        <v>6</v>
      </c>
      <c r="L179" t="str">
        <f t="shared" si="11"/>
        <v>Weekend</v>
      </c>
      <c r="M179">
        <v>1</v>
      </c>
      <c r="N179" t="str" cm="1">
        <f t="array" ref="N179">_xlfn.IFS(M179=1,"Sunny Day",M179=2,"Cloudy Day",M179=3,"Rainy Day",M179=4,"Heavy Rain")</f>
        <v>Sunny Day</v>
      </c>
      <c r="O179">
        <v>0.18</v>
      </c>
      <c r="P179">
        <v>0.13639999999999999</v>
      </c>
      <c r="Q179">
        <v>0.28999999999999998</v>
      </c>
      <c r="R179">
        <v>0.44779999999999998</v>
      </c>
      <c r="S179">
        <v>8</v>
      </c>
      <c r="T179">
        <v>68</v>
      </c>
      <c r="U179">
        <v>76</v>
      </c>
    </row>
    <row r="180" spans="1:21" x14ac:dyDescent="0.3">
      <c r="A180">
        <v>179</v>
      </c>
      <c r="B180" t="s">
        <v>19</v>
      </c>
      <c r="C180" t="str">
        <f t="shared" si="9"/>
        <v>08-Jan-2011</v>
      </c>
      <c r="D180">
        <v>1</v>
      </c>
      <c r="E180">
        <v>0</v>
      </c>
      <c r="F180">
        <v>1</v>
      </c>
      <c r="G180" t="str">
        <f t="shared" si="8"/>
        <v>Jan</v>
      </c>
      <c r="H180">
        <v>17</v>
      </c>
      <c r="I180">
        <f t="shared" si="10"/>
        <v>1</v>
      </c>
      <c r="J180" t="s">
        <v>125</v>
      </c>
      <c r="K180">
        <v>6</v>
      </c>
      <c r="L180" t="str">
        <f t="shared" si="11"/>
        <v>Weekend</v>
      </c>
      <c r="M180">
        <v>1</v>
      </c>
      <c r="N180" t="str" cm="1">
        <f t="array" ref="N180">_xlfn.IFS(M180=1,"Sunny Day",M180=2,"Cloudy Day",M180=3,"Rainy Day",M180=4,"Heavy Rain")</f>
        <v>Sunny Day</v>
      </c>
      <c r="O180">
        <v>0.16</v>
      </c>
      <c r="P180">
        <v>0.1212</v>
      </c>
      <c r="Q180">
        <v>0.37</v>
      </c>
      <c r="R180">
        <v>0.55220000000000002</v>
      </c>
      <c r="S180">
        <v>5</v>
      </c>
      <c r="T180">
        <v>64</v>
      </c>
      <c r="U180">
        <v>69</v>
      </c>
    </row>
    <row r="181" spans="1:21" x14ac:dyDescent="0.3">
      <c r="A181">
        <v>180</v>
      </c>
      <c r="B181" t="s">
        <v>19</v>
      </c>
      <c r="C181" t="str">
        <f t="shared" si="9"/>
        <v>08-Jan-2011</v>
      </c>
      <c r="D181">
        <v>1</v>
      </c>
      <c r="E181">
        <v>0</v>
      </c>
      <c r="F181">
        <v>1</v>
      </c>
      <c r="G181" t="str">
        <f t="shared" si="8"/>
        <v>Jan</v>
      </c>
      <c r="H181">
        <v>18</v>
      </c>
      <c r="I181">
        <f t="shared" si="10"/>
        <v>1</v>
      </c>
      <c r="J181" t="s">
        <v>125</v>
      </c>
      <c r="K181">
        <v>6</v>
      </c>
      <c r="L181" t="str">
        <f t="shared" si="11"/>
        <v>Weekend</v>
      </c>
      <c r="M181">
        <v>1</v>
      </c>
      <c r="N181" t="str" cm="1">
        <f t="array" ref="N181">_xlfn.IFS(M181=1,"Sunny Day",M181=2,"Cloudy Day",M181=3,"Rainy Day",M181=4,"Heavy Rain")</f>
        <v>Sunny Day</v>
      </c>
      <c r="O181">
        <v>0.14000000000000001</v>
      </c>
      <c r="P181">
        <v>0.1212</v>
      </c>
      <c r="Q181">
        <v>0.39</v>
      </c>
      <c r="R181">
        <v>0.29849999999999999</v>
      </c>
      <c r="S181">
        <v>3</v>
      </c>
      <c r="T181">
        <v>52</v>
      </c>
      <c r="U181">
        <v>55</v>
      </c>
    </row>
    <row r="182" spans="1:21" x14ac:dyDescent="0.3">
      <c r="A182">
        <v>181</v>
      </c>
      <c r="B182" t="s">
        <v>19</v>
      </c>
      <c r="C182" t="str">
        <f t="shared" si="9"/>
        <v>08-Jan-2011</v>
      </c>
      <c r="D182">
        <v>1</v>
      </c>
      <c r="E182">
        <v>0</v>
      </c>
      <c r="F182">
        <v>1</v>
      </c>
      <c r="G182" t="str">
        <f t="shared" si="8"/>
        <v>Jan</v>
      </c>
      <c r="H182">
        <v>19</v>
      </c>
      <c r="I182">
        <f t="shared" si="10"/>
        <v>1</v>
      </c>
      <c r="J182" t="s">
        <v>125</v>
      </c>
      <c r="K182">
        <v>6</v>
      </c>
      <c r="L182" t="str">
        <f t="shared" si="11"/>
        <v>Weekend</v>
      </c>
      <c r="M182">
        <v>1</v>
      </c>
      <c r="N182" t="str" cm="1">
        <f t="array" ref="N182">_xlfn.IFS(M182=1,"Sunny Day",M182=2,"Cloudy Day",M182=3,"Rainy Day",M182=4,"Heavy Rain")</f>
        <v>Sunny Day</v>
      </c>
      <c r="O182">
        <v>0.14000000000000001</v>
      </c>
      <c r="P182">
        <v>0.1212</v>
      </c>
      <c r="Q182">
        <v>0.36</v>
      </c>
      <c r="R182">
        <v>0.25369999999999998</v>
      </c>
      <c r="S182">
        <v>4</v>
      </c>
      <c r="T182">
        <v>26</v>
      </c>
      <c r="U182">
        <v>30</v>
      </c>
    </row>
    <row r="183" spans="1:21" x14ac:dyDescent="0.3">
      <c r="A183">
        <v>182</v>
      </c>
      <c r="B183" t="s">
        <v>19</v>
      </c>
      <c r="C183" t="str">
        <f t="shared" si="9"/>
        <v>08-Jan-2011</v>
      </c>
      <c r="D183">
        <v>1</v>
      </c>
      <c r="E183">
        <v>0</v>
      </c>
      <c r="F183">
        <v>1</v>
      </c>
      <c r="G183" t="str">
        <f t="shared" si="8"/>
        <v>Jan</v>
      </c>
      <c r="H183">
        <v>20</v>
      </c>
      <c r="I183">
        <f t="shared" si="10"/>
        <v>1</v>
      </c>
      <c r="J183" t="s">
        <v>125</v>
      </c>
      <c r="K183">
        <v>6</v>
      </c>
      <c r="L183" t="str">
        <f t="shared" si="11"/>
        <v>Weekend</v>
      </c>
      <c r="M183">
        <v>1</v>
      </c>
      <c r="N183" t="str" cm="1">
        <f t="array" ref="N183">_xlfn.IFS(M183=1,"Sunny Day",M183=2,"Cloudy Day",M183=3,"Rainy Day",M183=4,"Heavy Rain")</f>
        <v>Sunny Day</v>
      </c>
      <c r="O183">
        <v>0.12</v>
      </c>
      <c r="P183">
        <v>0.1212</v>
      </c>
      <c r="Q183">
        <v>0.36</v>
      </c>
      <c r="R183">
        <v>0.25369999999999998</v>
      </c>
      <c r="S183">
        <v>0</v>
      </c>
      <c r="T183">
        <v>28</v>
      </c>
      <c r="U183">
        <v>28</v>
      </c>
    </row>
    <row r="184" spans="1:21" x14ac:dyDescent="0.3">
      <c r="A184">
        <v>183</v>
      </c>
      <c r="B184" t="s">
        <v>19</v>
      </c>
      <c r="C184" t="str">
        <f t="shared" si="9"/>
        <v>08-Jan-2011</v>
      </c>
      <c r="D184">
        <v>1</v>
      </c>
      <c r="E184">
        <v>0</v>
      </c>
      <c r="F184">
        <v>1</v>
      </c>
      <c r="G184" t="str">
        <f t="shared" si="8"/>
        <v>Jan</v>
      </c>
      <c r="H184">
        <v>21</v>
      </c>
      <c r="I184">
        <f t="shared" si="10"/>
        <v>1</v>
      </c>
      <c r="J184" t="s">
        <v>125</v>
      </c>
      <c r="K184">
        <v>6</v>
      </c>
      <c r="L184" t="str">
        <f t="shared" si="11"/>
        <v>Weekend</v>
      </c>
      <c r="M184">
        <v>1</v>
      </c>
      <c r="N184" t="str" cm="1">
        <f t="array" ref="N184">_xlfn.IFS(M184=1,"Sunny Day",M184=2,"Cloudy Day",M184=3,"Rainy Day",M184=4,"Heavy Rain")</f>
        <v>Sunny Day</v>
      </c>
      <c r="O184">
        <v>0.12</v>
      </c>
      <c r="P184">
        <v>0.1061</v>
      </c>
      <c r="Q184">
        <v>0.39</v>
      </c>
      <c r="R184">
        <v>0.35820000000000002</v>
      </c>
      <c r="S184">
        <v>2</v>
      </c>
      <c r="T184">
        <v>35</v>
      </c>
      <c r="U184">
        <v>37</v>
      </c>
    </row>
    <row r="185" spans="1:21" x14ac:dyDescent="0.3">
      <c r="A185">
        <v>184</v>
      </c>
      <c r="B185" t="s">
        <v>19</v>
      </c>
      <c r="C185" t="str">
        <f t="shared" si="9"/>
        <v>08-Jan-2011</v>
      </c>
      <c r="D185">
        <v>1</v>
      </c>
      <c r="E185">
        <v>0</v>
      </c>
      <c r="F185">
        <v>1</v>
      </c>
      <c r="G185" t="str">
        <f t="shared" si="8"/>
        <v>Jan</v>
      </c>
      <c r="H185">
        <v>22</v>
      </c>
      <c r="I185">
        <f t="shared" si="10"/>
        <v>1</v>
      </c>
      <c r="J185" t="s">
        <v>125</v>
      </c>
      <c r="K185">
        <v>6</v>
      </c>
      <c r="L185" t="str">
        <f t="shared" si="11"/>
        <v>Weekend</v>
      </c>
      <c r="M185">
        <v>1</v>
      </c>
      <c r="N185" t="str" cm="1">
        <f t="array" ref="N185">_xlfn.IFS(M185=1,"Sunny Day",M185=2,"Cloudy Day",M185=3,"Rainy Day",M185=4,"Heavy Rain")</f>
        <v>Sunny Day</v>
      </c>
      <c r="O185">
        <v>0.12</v>
      </c>
      <c r="P185">
        <v>0.1061</v>
      </c>
      <c r="Q185">
        <v>0.36</v>
      </c>
      <c r="R185">
        <v>0.3881</v>
      </c>
      <c r="S185">
        <v>1</v>
      </c>
      <c r="T185">
        <v>33</v>
      </c>
      <c r="U185">
        <v>34</v>
      </c>
    </row>
    <row r="186" spans="1:21" x14ac:dyDescent="0.3">
      <c r="A186">
        <v>185</v>
      </c>
      <c r="B186" t="s">
        <v>19</v>
      </c>
      <c r="C186" t="str">
        <f t="shared" si="9"/>
        <v>08-Jan-2011</v>
      </c>
      <c r="D186">
        <v>1</v>
      </c>
      <c r="E186">
        <v>0</v>
      </c>
      <c r="F186">
        <v>1</v>
      </c>
      <c r="G186" t="str">
        <f t="shared" si="8"/>
        <v>Jan</v>
      </c>
      <c r="H186">
        <v>23</v>
      </c>
      <c r="I186">
        <f t="shared" si="10"/>
        <v>1</v>
      </c>
      <c r="J186" t="s">
        <v>125</v>
      </c>
      <c r="K186">
        <v>6</v>
      </c>
      <c r="L186" t="str">
        <f t="shared" si="11"/>
        <v>Weekend</v>
      </c>
      <c r="M186">
        <v>1</v>
      </c>
      <c r="N186" t="str" cm="1">
        <f t="array" ref="N186">_xlfn.IFS(M186=1,"Sunny Day",M186=2,"Cloudy Day",M186=3,"Rainy Day",M186=4,"Heavy Rain")</f>
        <v>Sunny Day</v>
      </c>
      <c r="O186">
        <v>0.1</v>
      </c>
      <c r="P186">
        <v>6.0600000000000001E-2</v>
      </c>
      <c r="Q186">
        <v>0.39</v>
      </c>
      <c r="R186">
        <v>0.44779999999999998</v>
      </c>
      <c r="S186">
        <v>0</v>
      </c>
      <c r="T186">
        <v>22</v>
      </c>
      <c r="U186">
        <v>22</v>
      </c>
    </row>
    <row r="187" spans="1:21" x14ac:dyDescent="0.3">
      <c r="A187">
        <v>186</v>
      </c>
      <c r="B187" t="s">
        <v>21</v>
      </c>
      <c r="C187" t="str">
        <f t="shared" si="9"/>
        <v>09-Jan-2011</v>
      </c>
      <c r="D187">
        <v>1</v>
      </c>
      <c r="E187">
        <v>0</v>
      </c>
      <c r="F187">
        <v>1</v>
      </c>
      <c r="G187" t="str">
        <f t="shared" si="8"/>
        <v>Jan</v>
      </c>
      <c r="H187">
        <v>0</v>
      </c>
      <c r="I187">
        <f t="shared" si="10"/>
        <v>0</v>
      </c>
      <c r="J187" t="s">
        <v>125</v>
      </c>
      <c r="K187">
        <v>0</v>
      </c>
      <c r="L187" t="str">
        <f t="shared" si="11"/>
        <v>Weekend</v>
      </c>
      <c r="M187">
        <v>1</v>
      </c>
      <c r="N187" t="str" cm="1">
        <f t="array" ref="N187">_xlfn.IFS(M187=1,"Sunny Day",M187=2,"Cloudy Day",M187=3,"Rainy Day",M187=4,"Heavy Rain")</f>
        <v>Sunny Day</v>
      </c>
      <c r="O187">
        <v>0.1</v>
      </c>
      <c r="P187">
        <v>7.5800000000000006E-2</v>
      </c>
      <c r="Q187">
        <v>0.42</v>
      </c>
      <c r="R187">
        <v>0.3881</v>
      </c>
      <c r="S187">
        <v>1</v>
      </c>
      <c r="T187">
        <v>24</v>
      </c>
      <c r="U187">
        <v>25</v>
      </c>
    </row>
    <row r="188" spans="1:21" x14ac:dyDescent="0.3">
      <c r="A188">
        <v>187</v>
      </c>
      <c r="B188" t="s">
        <v>21</v>
      </c>
      <c r="C188" t="str">
        <f t="shared" si="9"/>
        <v>09-Jan-2011</v>
      </c>
      <c r="D188">
        <v>1</v>
      </c>
      <c r="E188">
        <v>0</v>
      </c>
      <c r="F188">
        <v>1</v>
      </c>
      <c r="G188" t="str">
        <f t="shared" si="8"/>
        <v>Jan</v>
      </c>
      <c r="H188">
        <v>1</v>
      </c>
      <c r="I188">
        <f t="shared" si="10"/>
        <v>0</v>
      </c>
      <c r="J188" t="s">
        <v>125</v>
      </c>
      <c r="K188">
        <v>0</v>
      </c>
      <c r="L188" t="str">
        <f t="shared" si="11"/>
        <v>Weekend</v>
      </c>
      <c r="M188">
        <v>1</v>
      </c>
      <c r="N188" t="str" cm="1">
        <f t="array" ref="N188">_xlfn.IFS(M188=1,"Sunny Day",M188=2,"Cloudy Day",M188=3,"Rainy Day",M188=4,"Heavy Rain")</f>
        <v>Sunny Day</v>
      </c>
      <c r="O188">
        <v>0.1</v>
      </c>
      <c r="P188">
        <v>6.0600000000000001E-2</v>
      </c>
      <c r="Q188">
        <v>0.42</v>
      </c>
      <c r="R188">
        <v>0.4627</v>
      </c>
      <c r="S188">
        <v>0</v>
      </c>
      <c r="T188">
        <v>12</v>
      </c>
      <c r="U188">
        <v>12</v>
      </c>
    </row>
    <row r="189" spans="1:21" x14ac:dyDescent="0.3">
      <c r="A189">
        <v>188</v>
      </c>
      <c r="B189" t="s">
        <v>21</v>
      </c>
      <c r="C189" t="str">
        <f t="shared" si="9"/>
        <v>09-Jan-2011</v>
      </c>
      <c r="D189">
        <v>1</v>
      </c>
      <c r="E189">
        <v>0</v>
      </c>
      <c r="F189">
        <v>1</v>
      </c>
      <c r="G189" t="str">
        <f t="shared" si="8"/>
        <v>Jan</v>
      </c>
      <c r="H189">
        <v>2</v>
      </c>
      <c r="I189">
        <f t="shared" si="10"/>
        <v>0</v>
      </c>
      <c r="J189" t="s">
        <v>125</v>
      </c>
      <c r="K189">
        <v>0</v>
      </c>
      <c r="L189" t="str">
        <f t="shared" si="11"/>
        <v>Weekend</v>
      </c>
      <c r="M189">
        <v>1</v>
      </c>
      <c r="N189" t="str" cm="1">
        <f t="array" ref="N189">_xlfn.IFS(M189=1,"Sunny Day",M189=2,"Cloudy Day",M189=3,"Rainy Day",M189=4,"Heavy Rain")</f>
        <v>Sunny Day</v>
      </c>
      <c r="O189">
        <v>0.1</v>
      </c>
      <c r="P189">
        <v>6.0600000000000001E-2</v>
      </c>
      <c r="Q189">
        <v>0.46</v>
      </c>
      <c r="R189">
        <v>0.4627</v>
      </c>
      <c r="S189">
        <v>0</v>
      </c>
      <c r="T189">
        <v>11</v>
      </c>
      <c r="U189">
        <v>11</v>
      </c>
    </row>
    <row r="190" spans="1:21" x14ac:dyDescent="0.3">
      <c r="A190">
        <v>189</v>
      </c>
      <c r="B190" t="s">
        <v>21</v>
      </c>
      <c r="C190" t="str">
        <f t="shared" si="9"/>
        <v>09-Jan-2011</v>
      </c>
      <c r="D190">
        <v>1</v>
      </c>
      <c r="E190">
        <v>0</v>
      </c>
      <c r="F190">
        <v>1</v>
      </c>
      <c r="G190" t="str">
        <f t="shared" si="8"/>
        <v>Jan</v>
      </c>
      <c r="H190">
        <v>3</v>
      </c>
      <c r="I190">
        <f t="shared" si="10"/>
        <v>0</v>
      </c>
      <c r="J190" t="s">
        <v>125</v>
      </c>
      <c r="K190">
        <v>0</v>
      </c>
      <c r="L190" t="str">
        <f t="shared" si="11"/>
        <v>Weekend</v>
      </c>
      <c r="M190">
        <v>1</v>
      </c>
      <c r="N190" t="str" cm="1">
        <f t="array" ref="N190">_xlfn.IFS(M190=1,"Sunny Day",M190=2,"Cloudy Day",M190=3,"Rainy Day",M190=4,"Heavy Rain")</f>
        <v>Sunny Day</v>
      </c>
      <c r="O190">
        <v>0.1</v>
      </c>
      <c r="P190">
        <v>7.5800000000000006E-2</v>
      </c>
      <c r="Q190">
        <v>0.46</v>
      </c>
      <c r="R190">
        <v>0.41789999999999999</v>
      </c>
      <c r="S190">
        <v>0</v>
      </c>
      <c r="T190">
        <v>4</v>
      </c>
      <c r="U190">
        <v>4</v>
      </c>
    </row>
    <row r="191" spans="1:21" x14ac:dyDescent="0.3">
      <c r="A191">
        <v>190</v>
      </c>
      <c r="B191" t="s">
        <v>21</v>
      </c>
      <c r="C191" t="str">
        <f t="shared" si="9"/>
        <v>09-Jan-2011</v>
      </c>
      <c r="D191">
        <v>1</v>
      </c>
      <c r="E191">
        <v>0</v>
      </c>
      <c r="F191">
        <v>1</v>
      </c>
      <c r="G191" t="str">
        <f t="shared" si="8"/>
        <v>Jan</v>
      </c>
      <c r="H191">
        <v>4</v>
      </c>
      <c r="I191">
        <f t="shared" si="10"/>
        <v>0</v>
      </c>
      <c r="J191" t="s">
        <v>125</v>
      </c>
      <c r="K191">
        <v>0</v>
      </c>
      <c r="L191" t="str">
        <f t="shared" si="11"/>
        <v>Weekend</v>
      </c>
      <c r="M191">
        <v>1</v>
      </c>
      <c r="N191" t="str" cm="1">
        <f t="array" ref="N191">_xlfn.IFS(M191=1,"Sunny Day",M191=2,"Cloudy Day",M191=3,"Rainy Day",M191=4,"Heavy Rain")</f>
        <v>Sunny Day</v>
      </c>
      <c r="O191">
        <v>0.08</v>
      </c>
      <c r="P191">
        <v>9.0899999999999995E-2</v>
      </c>
      <c r="Q191">
        <v>0.53</v>
      </c>
      <c r="R191">
        <v>0.19400000000000001</v>
      </c>
      <c r="S191">
        <v>0</v>
      </c>
      <c r="T191">
        <v>1</v>
      </c>
      <c r="U191">
        <v>1</v>
      </c>
    </row>
    <row r="192" spans="1:21" x14ac:dyDescent="0.3">
      <c r="A192">
        <v>191</v>
      </c>
      <c r="B192" t="s">
        <v>21</v>
      </c>
      <c r="C192" t="str">
        <f t="shared" si="9"/>
        <v>09-Jan-2011</v>
      </c>
      <c r="D192">
        <v>1</v>
      </c>
      <c r="E192">
        <v>0</v>
      </c>
      <c r="F192">
        <v>1</v>
      </c>
      <c r="G192" t="str">
        <f t="shared" si="8"/>
        <v>Jan</v>
      </c>
      <c r="H192">
        <v>5</v>
      </c>
      <c r="I192">
        <f t="shared" si="10"/>
        <v>0</v>
      </c>
      <c r="J192" t="s">
        <v>125</v>
      </c>
      <c r="K192">
        <v>0</v>
      </c>
      <c r="L192" t="str">
        <f t="shared" si="11"/>
        <v>Weekend</v>
      </c>
      <c r="M192">
        <v>1</v>
      </c>
      <c r="N192" t="str" cm="1">
        <f t="array" ref="N192">_xlfn.IFS(M192=1,"Sunny Day",M192=2,"Cloudy Day",M192=3,"Rainy Day",M192=4,"Heavy Rain")</f>
        <v>Sunny Day</v>
      </c>
      <c r="O192">
        <v>0.08</v>
      </c>
      <c r="P192">
        <v>9.0899999999999995E-2</v>
      </c>
      <c r="Q192">
        <v>0.53</v>
      </c>
      <c r="R192">
        <v>0.19400000000000001</v>
      </c>
      <c r="S192">
        <v>0</v>
      </c>
      <c r="T192">
        <v>1</v>
      </c>
      <c r="U192">
        <v>1</v>
      </c>
    </row>
    <row r="193" spans="1:21" x14ac:dyDescent="0.3">
      <c r="A193">
        <v>192</v>
      </c>
      <c r="B193" t="s">
        <v>21</v>
      </c>
      <c r="C193" t="str">
        <f t="shared" si="9"/>
        <v>09-Jan-2011</v>
      </c>
      <c r="D193">
        <v>1</v>
      </c>
      <c r="E193">
        <v>0</v>
      </c>
      <c r="F193">
        <v>1</v>
      </c>
      <c r="G193" t="str">
        <f t="shared" si="8"/>
        <v>Jan</v>
      </c>
      <c r="H193">
        <v>6</v>
      </c>
      <c r="I193">
        <f t="shared" si="10"/>
        <v>0</v>
      </c>
      <c r="J193" t="s">
        <v>125</v>
      </c>
      <c r="K193">
        <v>0</v>
      </c>
      <c r="L193" t="str">
        <f t="shared" si="11"/>
        <v>Weekend</v>
      </c>
      <c r="M193">
        <v>1</v>
      </c>
      <c r="N193" t="str" cm="1">
        <f t="array" ref="N193">_xlfn.IFS(M193=1,"Sunny Day",M193=2,"Cloudy Day",M193=3,"Rainy Day",M193=4,"Heavy Rain")</f>
        <v>Sunny Day</v>
      </c>
      <c r="O193">
        <v>0.1</v>
      </c>
      <c r="P193">
        <v>9.0899999999999995E-2</v>
      </c>
      <c r="Q193">
        <v>0.49</v>
      </c>
      <c r="R193">
        <v>0.28360000000000002</v>
      </c>
      <c r="S193">
        <v>0</v>
      </c>
      <c r="T193">
        <v>1</v>
      </c>
      <c r="U193">
        <v>1</v>
      </c>
    </row>
    <row r="194" spans="1:21" x14ac:dyDescent="0.3">
      <c r="A194">
        <v>193</v>
      </c>
      <c r="B194" t="s">
        <v>21</v>
      </c>
      <c r="C194" t="str">
        <f t="shared" si="9"/>
        <v>09-Jan-2011</v>
      </c>
      <c r="D194">
        <v>1</v>
      </c>
      <c r="E194">
        <v>0</v>
      </c>
      <c r="F194">
        <v>1</v>
      </c>
      <c r="G194" t="str">
        <f t="shared" ref="G194:G257" si="12">TEXT(C194,"mmm")</f>
        <v>Jan</v>
      </c>
      <c r="H194">
        <v>7</v>
      </c>
      <c r="I194">
        <f t="shared" si="10"/>
        <v>0</v>
      </c>
      <c r="J194" t="s">
        <v>125</v>
      </c>
      <c r="K194">
        <v>0</v>
      </c>
      <c r="L194" t="str">
        <f t="shared" si="11"/>
        <v>Weekend</v>
      </c>
      <c r="M194">
        <v>1</v>
      </c>
      <c r="N194" t="str" cm="1">
        <f t="array" ref="N194">_xlfn.IFS(M194=1,"Sunny Day",M194=2,"Cloudy Day",M194=3,"Rainy Day",M194=4,"Heavy Rain")</f>
        <v>Sunny Day</v>
      </c>
      <c r="O194">
        <v>0.08</v>
      </c>
      <c r="P194">
        <v>9.0899999999999995E-2</v>
      </c>
      <c r="Q194">
        <v>0.53</v>
      </c>
      <c r="R194">
        <v>0.19400000000000001</v>
      </c>
      <c r="S194">
        <v>1</v>
      </c>
      <c r="T194">
        <v>5</v>
      </c>
      <c r="U194">
        <v>6</v>
      </c>
    </row>
    <row r="195" spans="1:21" x14ac:dyDescent="0.3">
      <c r="A195">
        <v>194</v>
      </c>
      <c r="B195" t="s">
        <v>21</v>
      </c>
      <c r="C195" t="str">
        <f t="shared" ref="C195:C258" si="13">TEXT(DATEVALUE(B195),"dd-mmm-yyyy")</f>
        <v>09-Jan-2011</v>
      </c>
      <c r="D195">
        <v>1</v>
      </c>
      <c r="E195">
        <v>0</v>
      </c>
      <c r="F195">
        <v>1</v>
      </c>
      <c r="G195" t="str">
        <f t="shared" si="12"/>
        <v>Jan</v>
      </c>
      <c r="H195">
        <v>8</v>
      </c>
      <c r="I195">
        <f t="shared" ref="I195:I258" si="14">IF(AND(H195&gt;=0,H195&lt;=10),0,1)</f>
        <v>0</v>
      </c>
      <c r="J195" t="s">
        <v>125</v>
      </c>
      <c r="K195">
        <v>0</v>
      </c>
      <c r="L195" t="str">
        <f t="shared" ref="L195:L258" si="15">IF(AND(K195&gt;=1,K195&lt;=5),"Weekday","Weekend")</f>
        <v>Weekend</v>
      </c>
      <c r="M195">
        <v>1</v>
      </c>
      <c r="N195" t="str" cm="1">
        <f t="array" ref="N195">_xlfn.IFS(M195=1,"Sunny Day",M195=2,"Cloudy Day",M195=3,"Rainy Day",M195=4,"Heavy Rain")</f>
        <v>Sunny Day</v>
      </c>
      <c r="O195">
        <v>0.1</v>
      </c>
      <c r="P195">
        <v>9.0899999999999995E-2</v>
      </c>
      <c r="Q195">
        <v>0.49</v>
      </c>
      <c r="R195">
        <v>0.28360000000000002</v>
      </c>
      <c r="S195">
        <v>0</v>
      </c>
      <c r="T195">
        <v>10</v>
      </c>
      <c r="U195">
        <v>10</v>
      </c>
    </row>
    <row r="196" spans="1:21" x14ac:dyDescent="0.3">
      <c r="A196">
        <v>195</v>
      </c>
      <c r="B196" t="s">
        <v>21</v>
      </c>
      <c r="C196" t="str">
        <f t="shared" si="13"/>
        <v>09-Jan-2011</v>
      </c>
      <c r="D196">
        <v>1</v>
      </c>
      <c r="E196">
        <v>0</v>
      </c>
      <c r="F196">
        <v>1</v>
      </c>
      <c r="G196" t="str">
        <f t="shared" si="12"/>
        <v>Jan</v>
      </c>
      <c r="H196">
        <v>9</v>
      </c>
      <c r="I196">
        <f t="shared" si="14"/>
        <v>0</v>
      </c>
      <c r="J196" t="s">
        <v>125</v>
      </c>
      <c r="K196">
        <v>0</v>
      </c>
      <c r="L196" t="str">
        <f t="shared" si="15"/>
        <v>Weekend</v>
      </c>
      <c r="M196">
        <v>1</v>
      </c>
      <c r="N196" t="str" cm="1">
        <f t="array" ref="N196">_xlfn.IFS(M196=1,"Sunny Day",M196=2,"Cloudy Day",M196=3,"Rainy Day",M196=4,"Heavy Rain")</f>
        <v>Sunny Day</v>
      </c>
      <c r="O196">
        <v>0.12</v>
      </c>
      <c r="P196">
        <v>7.5800000000000006E-2</v>
      </c>
      <c r="Q196">
        <v>0.46</v>
      </c>
      <c r="R196">
        <v>0.52239999999999998</v>
      </c>
      <c r="S196">
        <v>0</v>
      </c>
      <c r="T196">
        <v>19</v>
      </c>
      <c r="U196">
        <v>19</v>
      </c>
    </row>
    <row r="197" spans="1:21" x14ac:dyDescent="0.3">
      <c r="A197">
        <v>196</v>
      </c>
      <c r="B197" t="s">
        <v>21</v>
      </c>
      <c r="C197" t="str">
        <f t="shared" si="13"/>
        <v>09-Jan-2011</v>
      </c>
      <c r="D197">
        <v>1</v>
      </c>
      <c r="E197">
        <v>0</v>
      </c>
      <c r="F197">
        <v>1</v>
      </c>
      <c r="G197" t="str">
        <f t="shared" si="12"/>
        <v>Jan</v>
      </c>
      <c r="H197">
        <v>10</v>
      </c>
      <c r="I197">
        <f t="shared" si="14"/>
        <v>0</v>
      </c>
      <c r="J197" t="s">
        <v>125</v>
      </c>
      <c r="K197">
        <v>0</v>
      </c>
      <c r="L197" t="str">
        <f t="shared" si="15"/>
        <v>Weekend</v>
      </c>
      <c r="M197">
        <v>1</v>
      </c>
      <c r="N197" t="str" cm="1">
        <f t="array" ref="N197">_xlfn.IFS(M197=1,"Sunny Day",M197=2,"Cloudy Day",M197=3,"Rainy Day",M197=4,"Heavy Rain")</f>
        <v>Sunny Day</v>
      </c>
      <c r="O197">
        <v>0.14000000000000001</v>
      </c>
      <c r="P197">
        <v>0.1061</v>
      </c>
      <c r="Q197">
        <v>0.43</v>
      </c>
      <c r="R197">
        <v>0.3881</v>
      </c>
      <c r="S197">
        <v>0</v>
      </c>
      <c r="T197">
        <v>49</v>
      </c>
      <c r="U197">
        <v>49</v>
      </c>
    </row>
    <row r="198" spans="1:21" x14ac:dyDescent="0.3">
      <c r="A198">
        <v>197</v>
      </c>
      <c r="B198" t="s">
        <v>21</v>
      </c>
      <c r="C198" t="str">
        <f t="shared" si="13"/>
        <v>09-Jan-2011</v>
      </c>
      <c r="D198">
        <v>1</v>
      </c>
      <c r="E198">
        <v>0</v>
      </c>
      <c r="F198">
        <v>1</v>
      </c>
      <c r="G198" t="str">
        <f t="shared" si="12"/>
        <v>Jan</v>
      </c>
      <c r="H198">
        <v>11</v>
      </c>
      <c r="I198">
        <f t="shared" si="14"/>
        <v>1</v>
      </c>
      <c r="J198" t="s">
        <v>125</v>
      </c>
      <c r="K198">
        <v>0</v>
      </c>
      <c r="L198" t="str">
        <f t="shared" si="15"/>
        <v>Weekend</v>
      </c>
      <c r="M198">
        <v>1</v>
      </c>
      <c r="N198" t="str" cm="1">
        <f t="array" ref="N198">_xlfn.IFS(M198=1,"Sunny Day",M198=2,"Cloudy Day",M198=3,"Rainy Day",M198=4,"Heavy Rain")</f>
        <v>Sunny Day</v>
      </c>
      <c r="O198">
        <v>0.16</v>
      </c>
      <c r="P198">
        <v>0.1212</v>
      </c>
      <c r="Q198">
        <v>0.4</v>
      </c>
      <c r="R198">
        <v>0.52239999999999998</v>
      </c>
      <c r="S198">
        <v>2</v>
      </c>
      <c r="T198">
        <v>47</v>
      </c>
      <c r="U198">
        <v>49</v>
      </c>
    </row>
    <row r="199" spans="1:21" x14ac:dyDescent="0.3">
      <c r="A199">
        <v>198</v>
      </c>
      <c r="B199" t="s">
        <v>21</v>
      </c>
      <c r="C199" t="str">
        <f t="shared" si="13"/>
        <v>09-Jan-2011</v>
      </c>
      <c r="D199">
        <v>1</v>
      </c>
      <c r="E199">
        <v>0</v>
      </c>
      <c r="F199">
        <v>1</v>
      </c>
      <c r="G199" t="str">
        <f t="shared" si="12"/>
        <v>Jan</v>
      </c>
      <c r="H199">
        <v>12</v>
      </c>
      <c r="I199">
        <f t="shared" si="14"/>
        <v>1</v>
      </c>
      <c r="J199" t="s">
        <v>125</v>
      </c>
      <c r="K199">
        <v>0</v>
      </c>
      <c r="L199" t="str">
        <f t="shared" si="15"/>
        <v>Weekend</v>
      </c>
      <c r="M199">
        <v>1</v>
      </c>
      <c r="N199" t="str" cm="1">
        <f t="array" ref="N199">_xlfn.IFS(M199=1,"Sunny Day",M199=2,"Cloudy Day",M199=3,"Rainy Day",M199=4,"Heavy Rain")</f>
        <v>Sunny Day</v>
      </c>
      <c r="O199">
        <v>0.18</v>
      </c>
      <c r="P199">
        <v>0.13639999999999999</v>
      </c>
      <c r="Q199">
        <v>0.37</v>
      </c>
      <c r="R199">
        <v>0.44779999999999998</v>
      </c>
      <c r="S199">
        <v>4</v>
      </c>
      <c r="T199">
        <v>79</v>
      </c>
      <c r="U199">
        <v>83</v>
      </c>
    </row>
    <row r="200" spans="1:21" x14ac:dyDescent="0.3">
      <c r="A200">
        <v>199</v>
      </c>
      <c r="B200" t="s">
        <v>21</v>
      </c>
      <c r="C200" t="str">
        <f t="shared" si="13"/>
        <v>09-Jan-2011</v>
      </c>
      <c r="D200">
        <v>1</v>
      </c>
      <c r="E200">
        <v>0</v>
      </c>
      <c r="F200">
        <v>1</v>
      </c>
      <c r="G200" t="str">
        <f t="shared" si="12"/>
        <v>Jan</v>
      </c>
      <c r="H200">
        <v>13</v>
      </c>
      <c r="I200">
        <f t="shared" si="14"/>
        <v>1</v>
      </c>
      <c r="J200" t="s">
        <v>125</v>
      </c>
      <c r="K200">
        <v>0</v>
      </c>
      <c r="L200" t="str">
        <f t="shared" si="15"/>
        <v>Weekend</v>
      </c>
      <c r="M200">
        <v>1</v>
      </c>
      <c r="N200" t="str" cm="1">
        <f t="array" ref="N200">_xlfn.IFS(M200=1,"Sunny Day",M200=2,"Cloudy Day",M200=3,"Rainy Day",M200=4,"Heavy Rain")</f>
        <v>Sunny Day</v>
      </c>
      <c r="O200">
        <v>0.2</v>
      </c>
      <c r="P200">
        <v>0.16669999999999999</v>
      </c>
      <c r="Q200">
        <v>0.34</v>
      </c>
      <c r="R200">
        <v>0.44779999999999998</v>
      </c>
      <c r="S200">
        <v>6</v>
      </c>
      <c r="T200">
        <v>69</v>
      </c>
      <c r="U200">
        <v>75</v>
      </c>
    </row>
    <row r="201" spans="1:21" x14ac:dyDescent="0.3">
      <c r="A201">
        <v>200</v>
      </c>
      <c r="B201" t="s">
        <v>21</v>
      </c>
      <c r="C201" t="str">
        <f t="shared" si="13"/>
        <v>09-Jan-2011</v>
      </c>
      <c r="D201">
        <v>1</v>
      </c>
      <c r="E201">
        <v>0</v>
      </c>
      <c r="F201">
        <v>1</v>
      </c>
      <c r="G201" t="str">
        <f t="shared" si="12"/>
        <v>Jan</v>
      </c>
      <c r="H201">
        <v>14</v>
      </c>
      <c r="I201">
        <f t="shared" si="14"/>
        <v>1</v>
      </c>
      <c r="J201" t="s">
        <v>125</v>
      </c>
      <c r="K201">
        <v>0</v>
      </c>
      <c r="L201" t="str">
        <f t="shared" si="15"/>
        <v>Weekend</v>
      </c>
      <c r="M201">
        <v>1</v>
      </c>
      <c r="N201" t="str" cm="1">
        <f t="array" ref="N201">_xlfn.IFS(M201=1,"Sunny Day",M201=2,"Cloudy Day",M201=3,"Rainy Day",M201=4,"Heavy Rain")</f>
        <v>Sunny Day</v>
      </c>
      <c r="O201">
        <v>0.22</v>
      </c>
      <c r="P201">
        <v>0.18179999999999999</v>
      </c>
      <c r="Q201">
        <v>0.32</v>
      </c>
      <c r="R201">
        <v>0.4627</v>
      </c>
      <c r="S201">
        <v>8</v>
      </c>
      <c r="T201">
        <v>64</v>
      </c>
      <c r="U201">
        <v>72</v>
      </c>
    </row>
    <row r="202" spans="1:21" x14ac:dyDescent="0.3">
      <c r="A202">
        <v>201</v>
      </c>
      <c r="B202" t="s">
        <v>21</v>
      </c>
      <c r="C202" t="str">
        <f t="shared" si="13"/>
        <v>09-Jan-2011</v>
      </c>
      <c r="D202">
        <v>1</v>
      </c>
      <c r="E202">
        <v>0</v>
      </c>
      <c r="F202">
        <v>1</v>
      </c>
      <c r="G202" t="str">
        <f t="shared" si="12"/>
        <v>Jan</v>
      </c>
      <c r="H202">
        <v>15</v>
      </c>
      <c r="I202">
        <f t="shared" si="14"/>
        <v>1</v>
      </c>
      <c r="J202" t="s">
        <v>125</v>
      </c>
      <c r="K202">
        <v>0</v>
      </c>
      <c r="L202" t="str">
        <f t="shared" si="15"/>
        <v>Weekend</v>
      </c>
      <c r="M202">
        <v>1</v>
      </c>
      <c r="N202" t="str" cm="1">
        <f t="array" ref="N202">_xlfn.IFS(M202=1,"Sunny Day",M202=2,"Cloudy Day",M202=3,"Rainy Day",M202=4,"Heavy Rain")</f>
        <v>Sunny Day</v>
      </c>
      <c r="O202">
        <v>0.22</v>
      </c>
      <c r="P202">
        <v>0.19700000000000001</v>
      </c>
      <c r="Q202">
        <v>0.35</v>
      </c>
      <c r="R202">
        <v>0.35820000000000002</v>
      </c>
      <c r="S202">
        <v>5</v>
      </c>
      <c r="T202">
        <v>77</v>
      </c>
      <c r="U202">
        <v>82</v>
      </c>
    </row>
    <row r="203" spans="1:21" x14ac:dyDescent="0.3">
      <c r="A203">
        <v>202</v>
      </c>
      <c r="B203" t="s">
        <v>21</v>
      </c>
      <c r="C203" t="str">
        <f t="shared" si="13"/>
        <v>09-Jan-2011</v>
      </c>
      <c r="D203">
        <v>1</v>
      </c>
      <c r="E203">
        <v>0</v>
      </c>
      <c r="F203">
        <v>1</v>
      </c>
      <c r="G203" t="str">
        <f t="shared" si="12"/>
        <v>Jan</v>
      </c>
      <c r="H203">
        <v>16</v>
      </c>
      <c r="I203">
        <f t="shared" si="14"/>
        <v>1</v>
      </c>
      <c r="J203" t="s">
        <v>125</v>
      </c>
      <c r="K203">
        <v>0</v>
      </c>
      <c r="L203" t="str">
        <f t="shared" si="15"/>
        <v>Weekend</v>
      </c>
      <c r="M203">
        <v>1</v>
      </c>
      <c r="N203" t="str" cm="1">
        <f t="array" ref="N203">_xlfn.IFS(M203=1,"Sunny Day",M203=2,"Cloudy Day",M203=3,"Rainy Day",M203=4,"Heavy Rain")</f>
        <v>Sunny Day</v>
      </c>
      <c r="O203">
        <v>0.2</v>
      </c>
      <c r="P203">
        <v>0.16669999999999999</v>
      </c>
      <c r="Q203">
        <v>0.34</v>
      </c>
      <c r="R203">
        <v>0.44779999999999998</v>
      </c>
      <c r="S203">
        <v>13</v>
      </c>
      <c r="T203">
        <v>79</v>
      </c>
      <c r="U203">
        <v>92</v>
      </c>
    </row>
    <row r="204" spans="1:21" x14ac:dyDescent="0.3">
      <c r="A204">
        <v>203</v>
      </c>
      <c r="B204" t="s">
        <v>21</v>
      </c>
      <c r="C204" t="str">
        <f t="shared" si="13"/>
        <v>09-Jan-2011</v>
      </c>
      <c r="D204">
        <v>1</v>
      </c>
      <c r="E204">
        <v>0</v>
      </c>
      <c r="F204">
        <v>1</v>
      </c>
      <c r="G204" t="str">
        <f t="shared" si="12"/>
        <v>Jan</v>
      </c>
      <c r="H204">
        <v>17</v>
      </c>
      <c r="I204">
        <f t="shared" si="14"/>
        <v>1</v>
      </c>
      <c r="J204" t="s">
        <v>125</v>
      </c>
      <c r="K204">
        <v>0</v>
      </c>
      <c r="L204" t="str">
        <f t="shared" si="15"/>
        <v>Weekend</v>
      </c>
      <c r="M204">
        <v>1</v>
      </c>
      <c r="N204" t="str" cm="1">
        <f t="array" ref="N204">_xlfn.IFS(M204=1,"Sunny Day",M204=2,"Cloudy Day",M204=3,"Rainy Day",M204=4,"Heavy Rain")</f>
        <v>Sunny Day</v>
      </c>
      <c r="O204">
        <v>0.18</v>
      </c>
      <c r="P204">
        <v>0.1515</v>
      </c>
      <c r="Q204">
        <v>0.37</v>
      </c>
      <c r="R204">
        <v>0.3881</v>
      </c>
      <c r="S204">
        <v>3</v>
      </c>
      <c r="T204">
        <v>59</v>
      </c>
      <c r="U204">
        <v>62</v>
      </c>
    </row>
    <row r="205" spans="1:21" x14ac:dyDescent="0.3">
      <c r="A205">
        <v>204</v>
      </c>
      <c r="B205" t="s">
        <v>21</v>
      </c>
      <c r="C205" t="str">
        <f t="shared" si="13"/>
        <v>09-Jan-2011</v>
      </c>
      <c r="D205">
        <v>1</v>
      </c>
      <c r="E205">
        <v>0</v>
      </c>
      <c r="F205">
        <v>1</v>
      </c>
      <c r="G205" t="str">
        <f t="shared" si="12"/>
        <v>Jan</v>
      </c>
      <c r="H205">
        <v>18</v>
      </c>
      <c r="I205">
        <f t="shared" si="14"/>
        <v>1</v>
      </c>
      <c r="J205" t="s">
        <v>125</v>
      </c>
      <c r="K205">
        <v>0</v>
      </c>
      <c r="L205" t="str">
        <f t="shared" si="15"/>
        <v>Weekend</v>
      </c>
      <c r="M205">
        <v>1</v>
      </c>
      <c r="N205" t="str" cm="1">
        <f t="array" ref="N205">_xlfn.IFS(M205=1,"Sunny Day",M205=2,"Cloudy Day",M205=3,"Rainy Day",M205=4,"Heavy Rain")</f>
        <v>Sunny Day</v>
      </c>
      <c r="O205">
        <v>0.16</v>
      </c>
      <c r="P205">
        <v>0.13639999999999999</v>
      </c>
      <c r="Q205">
        <v>0.4</v>
      </c>
      <c r="R205">
        <v>0.32840000000000003</v>
      </c>
      <c r="S205">
        <v>4</v>
      </c>
      <c r="T205">
        <v>44</v>
      </c>
      <c r="U205">
        <v>48</v>
      </c>
    </row>
    <row r="206" spans="1:21" x14ac:dyDescent="0.3">
      <c r="A206">
        <v>205</v>
      </c>
      <c r="B206" t="s">
        <v>21</v>
      </c>
      <c r="C206" t="str">
        <f t="shared" si="13"/>
        <v>09-Jan-2011</v>
      </c>
      <c r="D206">
        <v>1</v>
      </c>
      <c r="E206">
        <v>0</v>
      </c>
      <c r="F206">
        <v>1</v>
      </c>
      <c r="G206" t="str">
        <f t="shared" si="12"/>
        <v>Jan</v>
      </c>
      <c r="H206">
        <v>19</v>
      </c>
      <c r="I206">
        <f t="shared" si="14"/>
        <v>1</v>
      </c>
      <c r="J206" t="s">
        <v>125</v>
      </c>
      <c r="K206">
        <v>0</v>
      </c>
      <c r="L206" t="str">
        <f t="shared" si="15"/>
        <v>Weekend</v>
      </c>
      <c r="M206">
        <v>1</v>
      </c>
      <c r="N206" t="str" cm="1">
        <f t="array" ref="N206">_xlfn.IFS(M206=1,"Sunny Day",M206=2,"Cloudy Day",M206=3,"Rainy Day",M206=4,"Heavy Rain")</f>
        <v>Sunny Day</v>
      </c>
      <c r="O206">
        <v>0.16</v>
      </c>
      <c r="P206">
        <v>0.13639999999999999</v>
      </c>
      <c r="Q206">
        <v>0.43</v>
      </c>
      <c r="R206">
        <v>0.32840000000000003</v>
      </c>
      <c r="S206">
        <v>1</v>
      </c>
      <c r="T206">
        <v>40</v>
      </c>
      <c r="U206">
        <v>41</v>
      </c>
    </row>
    <row r="207" spans="1:21" x14ac:dyDescent="0.3">
      <c r="A207">
        <v>206</v>
      </c>
      <c r="B207" t="s">
        <v>21</v>
      </c>
      <c r="C207" t="str">
        <f t="shared" si="13"/>
        <v>09-Jan-2011</v>
      </c>
      <c r="D207">
        <v>1</v>
      </c>
      <c r="E207">
        <v>0</v>
      </c>
      <c r="F207">
        <v>1</v>
      </c>
      <c r="G207" t="str">
        <f t="shared" si="12"/>
        <v>Jan</v>
      </c>
      <c r="H207">
        <v>20</v>
      </c>
      <c r="I207">
        <f t="shared" si="14"/>
        <v>1</v>
      </c>
      <c r="J207" t="s">
        <v>125</v>
      </c>
      <c r="K207">
        <v>0</v>
      </c>
      <c r="L207" t="str">
        <f t="shared" si="15"/>
        <v>Weekend</v>
      </c>
      <c r="M207">
        <v>1</v>
      </c>
      <c r="N207" t="str" cm="1">
        <f t="array" ref="N207">_xlfn.IFS(M207=1,"Sunny Day",M207=2,"Cloudy Day",M207=3,"Rainy Day",M207=4,"Heavy Rain")</f>
        <v>Sunny Day</v>
      </c>
      <c r="O207">
        <v>0.14000000000000001</v>
      </c>
      <c r="P207">
        <v>0.1212</v>
      </c>
      <c r="Q207">
        <v>0.46</v>
      </c>
      <c r="R207">
        <v>0.25369999999999998</v>
      </c>
      <c r="S207">
        <v>0</v>
      </c>
      <c r="T207">
        <v>38</v>
      </c>
      <c r="U207">
        <v>38</v>
      </c>
    </row>
    <row r="208" spans="1:21" x14ac:dyDescent="0.3">
      <c r="A208">
        <v>207</v>
      </c>
      <c r="B208" t="s">
        <v>21</v>
      </c>
      <c r="C208" t="str">
        <f t="shared" si="13"/>
        <v>09-Jan-2011</v>
      </c>
      <c r="D208">
        <v>1</v>
      </c>
      <c r="E208">
        <v>0</v>
      </c>
      <c r="F208">
        <v>1</v>
      </c>
      <c r="G208" t="str">
        <f t="shared" si="12"/>
        <v>Jan</v>
      </c>
      <c r="H208">
        <v>21</v>
      </c>
      <c r="I208">
        <f t="shared" si="14"/>
        <v>1</v>
      </c>
      <c r="J208" t="s">
        <v>125</v>
      </c>
      <c r="K208">
        <v>0</v>
      </c>
      <c r="L208" t="str">
        <f t="shared" si="15"/>
        <v>Weekend</v>
      </c>
      <c r="M208">
        <v>1</v>
      </c>
      <c r="N208" t="str" cm="1">
        <f t="array" ref="N208">_xlfn.IFS(M208=1,"Sunny Day",M208=2,"Cloudy Day",M208=3,"Rainy Day",M208=4,"Heavy Rain")</f>
        <v>Sunny Day</v>
      </c>
      <c r="O208">
        <v>0.14000000000000001</v>
      </c>
      <c r="P208">
        <v>0.1061</v>
      </c>
      <c r="Q208">
        <v>0.46</v>
      </c>
      <c r="R208">
        <v>0.41789999999999999</v>
      </c>
      <c r="S208">
        <v>1</v>
      </c>
      <c r="T208">
        <v>19</v>
      </c>
      <c r="U208">
        <v>20</v>
      </c>
    </row>
    <row r="209" spans="1:21" x14ac:dyDescent="0.3">
      <c r="A209">
        <v>208</v>
      </c>
      <c r="B209" t="s">
        <v>21</v>
      </c>
      <c r="C209" t="str">
        <f t="shared" si="13"/>
        <v>09-Jan-2011</v>
      </c>
      <c r="D209">
        <v>1</v>
      </c>
      <c r="E209">
        <v>0</v>
      </c>
      <c r="F209">
        <v>1</v>
      </c>
      <c r="G209" t="str">
        <f t="shared" si="12"/>
        <v>Jan</v>
      </c>
      <c r="H209">
        <v>22</v>
      </c>
      <c r="I209">
        <f t="shared" si="14"/>
        <v>1</v>
      </c>
      <c r="J209" t="s">
        <v>125</v>
      </c>
      <c r="K209">
        <v>0</v>
      </c>
      <c r="L209" t="str">
        <f t="shared" si="15"/>
        <v>Weekend</v>
      </c>
      <c r="M209">
        <v>1</v>
      </c>
      <c r="N209" t="str" cm="1">
        <f t="array" ref="N209">_xlfn.IFS(M209=1,"Sunny Day",M209=2,"Cloudy Day",M209=3,"Rainy Day",M209=4,"Heavy Rain")</f>
        <v>Sunny Day</v>
      </c>
      <c r="O209">
        <v>0.14000000000000001</v>
      </c>
      <c r="P209">
        <v>0.1212</v>
      </c>
      <c r="Q209">
        <v>0.46</v>
      </c>
      <c r="R209">
        <v>0.29849999999999999</v>
      </c>
      <c r="S209">
        <v>5</v>
      </c>
      <c r="T209">
        <v>10</v>
      </c>
      <c r="U209">
        <v>15</v>
      </c>
    </row>
    <row r="210" spans="1:21" x14ac:dyDescent="0.3">
      <c r="A210">
        <v>209</v>
      </c>
      <c r="B210" t="s">
        <v>21</v>
      </c>
      <c r="C210" t="str">
        <f t="shared" si="13"/>
        <v>09-Jan-2011</v>
      </c>
      <c r="D210">
        <v>1</v>
      </c>
      <c r="E210">
        <v>0</v>
      </c>
      <c r="F210">
        <v>1</v>
      </c>
      <c r="G210" t="str">
        <f t="shared" si="12"/>
        <v>Jan</v>
      </c>
      <c r="H210">
        <v>23</v>
      </c>
      <c r="I210">
        <f t="shared" si="14"/>
        <v>1</v>
      </c>
      <c r="J210" t="s">
        <v>125</v>
      </c>
      <c r="K210">
        <v>0</v>
      </c>
      <c r="L210" t="str">
        <f t="shared" si="15"/>
        <v>Weekend</v>
      </c>
      <c r="M210">
        <v>1</v>
      </c>
      <c r="N210" t="str" cm="1">
        <f t="array" ref="N210">_xlfn.IFS(M210=1,"Sunny Day",M210=2,"Cloudy Day",M210=3,"Rainy Day",M210=4,"Heavy Rain")</f>
        <v>Sunny Day</v>
      </c>
      <c r="O210">
        <v>0.12</v>
      </c>
      <c r="P210">
        <v>0.13639999999999999</v>
      </c>
      <c r="Q210">
        <v>0.5</v>
      </c>
      <c r="R210">
        <v>0.19400000000000001</v>
      </c>
      <c r="S210">
        <v>0</v>
      </c>
      <c r="T210">
        <v>6</v>
      </c>
      <c r="U210">
        <v>6</v>
      </c>
    </row>
    <row r="211" spans="1:21" x14ac:dyDescent="0.3">
      <c r="A211">
        <v>210</v>
      </c>
      <c r="B211" t="s">
        <v>23</v>
      </c>
      <c r="C211" t="str">
        <f t="shared" si="13"/>
        <v>10-Jan-2011</v>
      </c>
      <c r="D211">
        <v>1</v>
      </c>
      <c r="E211">
        <v>0</v>
      </c>
      <c r="F211">
        <v>1</v>
      </c>
      <c r="G211" t="str">
        <f t="shared" si="12"/>
        <v>Jan</v>
      </c>
      <c r="H211">
        <v>0</v>
      </c>
      <c r="I211">
        <f t="shared" si="14"/>
        <v>0</v>
      </c>
      <c r="J211" t="s">
        <v>126</v>
      </c>
      <c r="K211">
        <v>1</v>
      </c>
      <c r="L211" t="str">
        <f t="shared" si="15"/>
        <v>Weekday</v>
      </c>
      <c r="M211">
        <v>1</v>
      </c>
      <c r="N211" t="str" cm="1">
        <f t="array" ref="N211">_xlfn.IFS(M211=1,"Sunny Day",M211=2,"Cloudy Day",M211=3,"Rainy Day",M211=4,"Heavy Rain")</f>
        <v>Sunny Day</v>
      </c>
      <c r="O211">
        <v>0.12</v>
      </c>
      <c r="P211">
        <v>0.1212</v>
      </c>
      <c r="Q211">
        <v>0.5</v>
      </c>
      <c r="R211">
        <v>0.28360000000000002</v>
      </c>
      <c r="S211">
        <v>2</v>
      </c>
      <c r="T211">
        <v>3</v>
      </c>
      <c r="U211">
        <v>5</v>
      </c>
    </row>
    <row r="212" spans="1:21" x14ac:dyDescent="0.3">
      <c r="A212">
        <v>211</v>
      </c>
      <c r="B212" t="s">
        <v>23</v>
      </c>
      <c r="C212" t="str">
        <f t="shared" si="13"/>
        <v>10-Jan-2011</v>
      </c>
      <c r="D212">
        <v>1</v>
      </c>
      <c r="E212">
        <v>0</v>
      </c>
      <c r="F212">
        <v>1</v>
      </c>
      <c r="G212" t="str">
        <f t="shared" si="12"/>
        <v>Jan</v>
      </c>
      <c r="H212">
        <v>1</v>
      </c>
      <c r="I212">
        <f t="shared" si="14"/>
        <v>0</v>
      </c>
      <c r="J212" t="s">
        <v>126</v>
      </c>
      <c r="K212">
        <v>1</v>
      </c>
      <c r="L212" t="str">
        <f t="shared" si="15"/>
        <v>Weekday</v>
      </c>
      <c r="M212">
        <v>1</v>
      </c>
      <c r="N212" t="str" cm="1">
        <f t="array" ref="N212">_xlfn.IFS(M212=1,"Sunny Day",M212=2,"Cloudy Day",M212=3,"Rainy Day",M212=4,"Heavy Rain")</f>
        <v>Sunny Day</v>
      </c>
      <c r="O212">
        <v>0.12</v>
      </c>
      <c r="P212">
        <v>0.1212</v>
      </c>
      <c r="Q212">
        <v>0.5</v>
      </c>
      <c r="R212">
        <v>0.28360000000000002</v>
      </c>
      <c r="S212">
        <v>1</v>
      </c>
      <c r="T212">
        <v>0</v>
      </c>
      <c r="U212">
        <v>1</v>
      </c>
    </row>
    <row r="213" spans="1:21" x14ac:dyDescent="0.3">
      <c r="A213">
        <v>212</v>
      </c>
      <c r="B213" t="s">
        <v>23</v>
      </c>
      <c r="C213" t="str">
        <f t="shared" si="13"/>
        <v>10-Jan-2011</v>
      </c>
      <c r="D213">
        <v>1</v>
      </c>
      <c r="E213">
        <v>0</v>
      </c>
      <c r="F213">
        <v>1</v>
      </c>
      <c r="G213" t="str">
        <f t="shared" si="12"/>
        <v>Jan</v>
      </c>
      <c r="H213">
        <v>2</v>
      </c>
      <c r="I213">
        <f t="shared" si="14"/>
        <v>0</v>
      </c>
      <c r="J213" t="s">
        <v>126</v>
      </c>
      <c r="K213">
        <v>1</v>
      </c>
      <c r="L213" t="str">
        <f t="shared" si="15"/>
        <v>Weekday</v>
      </c>
      <c r="M213">
        <v>1</v>
      </c>
      <c r="N213" t="str" cm="1">
        <f t="array" ref="N213">_xlfn.IFS(M213=1,"Sunny Day",M213=2,"Cloudy Day",M213=3,"Rainy Day",M213=4,"Heavy Rain")</f>
        <v>Sunny Day</v>
      </c>
      <c r="O213">
        <v>0.12</v>
      </c>
      <c r="P213">
        <v>0.1212</v>
      </c>
      <c r="Q213">
        <v>0.5</v>
      </c>
      <c r="R213">
        <v>0.22389999999999999</v>
      </c>
      <c r="S213">
        <v>0</v>
      </c>
      <c r="T213">
        <v>3</v>
      </c>
      <c r="U213">
        <v>3</v>
      </c>
    </row>
    <row r="214" spans="1:21" x14ac:dyDescent="0.3">
      <c r="A214">
        <v>213</v>
      </c>
      <c r="B214" t="s">
        <v>23</v>
      </c>
      <c r="C214" t="str">
        <f t="shared" si="13"/>
        <v>10-Jan-2011</v>
      </c>
      <c r="D214">
        <v>1</v>
      </c>
      <c r="E214">
        <v>0</v>
      </c>
      <c r="F214">
        <v>1</v>
      </c>
      <c r="G214" t="str">
        <f t="shared" si="12"/>
        <v>Jan</v>
      </c>
      <c r="H214">
        <v>3</v>
      </c>
      <c r="I214">
        <f t="shared" si="14"/>
        <v>0</v>
      </c>
      <c r="J214" t="s">
        <v>126</v>
      </c>
      <c r="K214">
        <v>1</v>
      </c>
      <c r="L214" t="str">
        <f t="shared" si="15"/>
        <v>Weekday</v>
      </c>
      <c r="M214">
        <v>1</v>
      </c>
      <c r="N214" t="str" cm="1">
        <f t="array" ref="N214">_xlfn.IFS(M214=1,"Sunny Day",M214=2,"Cloudy Day",M214=3,"Rainy Day",M214=4,"Heavy Rain")</f>
        <v>Sunny Day</v>
      </c>
      <c r="O214">
        <v>0.12</v>
      </c>
      <c r="P214">
        <v>0.1212</v>
      </c>
      <c r="Q214">
        <v>0.5</v>
      </c>
      <c r="R214">
        <v>0.22389999999999999</v>
      </c>
      <c r="S214">
        <v>0</v>
      </c>
      <c r="T214">
        <v>1</v>
      </c>
      <c r="U214">
        <v>1</v>
      </c>
    </row>
    <row r="215" spans="1:21" x14ac:dyDescent="0.3">
      <c r="A215">
        <v>214</v>
      </c>
      <c r="B215" t="s">
        <v>23</v>
      </c>
      <c r="C215" t="str">
        <f t="shared" si="13"/>
        <v>10-Jan-2011</v>
      </c>
      <c r="D215">
        <v>1</v>
      </c>
      <c r="E215">
        <v>0</v>
      </c>
      <c r="F215">
        <v>1</v>
      </c>
      <c r="G215" t="str">
        <f t="shared" si="12"/>
        <v>Jan</v>
      </c>
      <c r="H215">
        <v>4</v>
      </c>
      <c r="I215">
        <f t="shared" si="14"/>
        <v>0</v>
      </c>
      <c r="J215" t="s">
        <v>126</v>
      </c>
      <c r="K215">
        <v>1</v>
      </c>
      <c r="L215" t="str">
        <f t="shared" si="15"/>
        <v>Weekday</v>
      </c>
      <c r="M215">
        <v>1</v>
      </c>
      <c r="N215" t="str" cm="1">
        <f t="array" ref="N215">_xlfn.IFS(M215=1,"Sunny Day",M215=2,"Cloudy Day",M215=3,"Rainy Day",M215=4,"Heavy Rain")</f>
        <v>Sunny Day</v>
      </c>
      <c r="O215">
        <v>0.1</v>
      </c>
      <c r="P215">
        <v>0.1212</v>
      </c>
      <c r="Q215">
        <v>0.54</v>
      </c>
      <c r="R215">
        <v>0.1343</v>
      </c>
      <c r="S215">
        <v>1</v>
      </c>
      <c r="T215">
        <v>2</v>
      </c>
      <c r="U215">
        <v>3</v>
      </c>
    </row>
    <row r="216" spans="1:21" x14ac:dyDescent="0.3">
      <c r="A216">
        <v>215</v>
      </c>
      <c r="B216" t="s">
        <v>23</v>
      </c>
      <c r="C216" t="str">
        <f t="shared" si="13"/>
        <v>10-Jan-2011</v>
      </c>
      <c r="D216">
        <v>1</v>
      </c>
      <c r="E216">
        <v>0</v>
      </c>
      <c r="F216">
        <v>1</v>
      </c>
      <c r="G216" t="str">
        <f t="shared" si="12"/>
        <v>Jan</v>
      </c>
      <c r="H216">
        <v>5</v>
      </c>
      <c r="I216">
        <f t="shared" si="14"/>
        <v>0</v>
      </c>
      <c r="J216" t="s">
        <v>126</v>
      </c>
      <c r="K216">
        <v>1</v>
      </c>
      <c r="L216" t="str">
        <f t="shared" si="15"/>
        <v>Weekday</v>
      </c>
      <c r="M216">
        <v>1</v>
      </c>
      <c r="N216" t="str" cm="1">
        <f t="array" ref="N216">_xlfn.IFS(M216=1,"Sunny Day",M216=2,"Cloudy Day",M216=3,"Rainy Day",M216=4,"Heavy Rain")</f>
        <v>Sunny Day</v>
      </c>
      <c r="O216">
        <v>0.1</v>
      </c>
      <c r="P216">
        <v>0.1061</v>
      </c>
      <c r="Q216">
        <v>0.54</v>
      </c>
      <c r="R216">
        <v>0.25369999999999998</v>
      </c>
      <c r="S216">
        <v>0</v>
      </c>
      <c r="T216">
        <v>3</v>
      </c>
      <c r="U216">
        <v>3</v>
      </c>
    </row>
    <row r="217" spans="1:21" x14ac:dyDescent="0.3">
      <c r="A217">
        <v>216</v>
      </c>
      <c r="B217" t="s">
        <v>23</v>
      </c>
      <c r="C217" t="str">
        <f t="shared" si="13"/>
        <v>10-Jan-2011</v>
      </c>
      <c r="D217">
        <v>1</v>
      </c>
      <c r="E217">
        <v>0</v>
      </c>
      <c r="F217">
        <v>1</v>
      </c>
      <c r="G217" t="str">
        <f t="shared" si="12"/>
        <v>Jan</v>
      </c>
      <c r="H217">
        <v>6</v>
      </c>
      <c r="I217">
        <f t="shared" si="14"/>
        <v>0</v>
      </c>
      <c r="J217" t="s">
        <v>126</v>
      </c>
      <c r="K217">
        <v>1</v>
      </c>
      <c r="L217" t="str">
        <f t="shared" si="15"/>
        <v>Weekday</v>
      </c>
      <c r="M217">
        <v>1</v>
      </c>
      <c r="N217" t="str" cm="1">
        <f t="array" ref="N217">_xlfn.IFS(M217=1,"Sunny Day",M217=2,"Cloudy Day",M217=3,"Rainy Day",M217=4,"Heavy Rain")</f>
        <v>Sunny Day</v>
      </c>
      <c r="O217">
        <v>0.12</v>
      </c>
      <c r="P217">
        <v>0.1212</v>
      </c>
      <c r="Q217">
        <v>0.5</v>
      </c>
      <c r="R217">
        <v>0.28360000000000002</v>
      </c>
      <c r="S217">
        <v>0</v>
      </c>
      <c r="T217">
        <v>31</v>
      </c>
      <c r="U217">
        <v>31</v>
      </c>
    </row>
    <row r="218" spans="1:21" x14ac:dyDescent="0.3">
      <c r="A218">
        <v>217</v>
      </c>
      <c r="B218" t="s">
        <v>23</v>
      </c>
      <c r="C218" t="str">
        <f t="shared" si="13"/>
        <v>10-Jan-2011</v>
      </c>
      <c r="D218">
        <v>1</v>
      </c>
      <c r="E218">
        <v>0</v>
      </c>
      <c r="F218">
        <v>1</v>
      </c>
      <c r="G218" t="str">
        <f t="shared" si="12"/>
        <v>Jan</v>
      </c>
      <c r="H218">
        <v>7</v>
      </c>
      <c r="I218">
        <f t="shared" si="14"/>
        <v>0</v>
      </c>
      <c r="J218" t="s">
        <v>126</v>
      </c>
      <c r="K218">
        <v>1</v>
      </c>
      <c r="L218" t="str">
        <f t="shared" si="15"/>
        <v>Weekday</v>
      </c>
      <c r="M218">
        <v>1</v>
      </c>
      <c r="N218" t="str" cm="1">
        <f t="array" ref="N218">_xlfn.IFS(M218=1,"Sunny Day",M218=2,"Cloudy Day",M218=3,"Rainy Day",M218=4,"Heavy Rain")</f>
        <v>Sunny Day</v>
      </c>
      <c r="O218">
        <v>0.12</v>
      </c>
      <c r="P218">
        <v>0.1212</v>
      </c>
      <c r="Q218">
        <v>0.5</v>
      </c>
      <c r="R218">
        <v>0.22389999999999999</v>
      </c>
      <c r="S218">
        <v>2</v>
      </c>
      <c r="T218">
        <v>75</v>
      </c>
      <c r="U218">
        <v>77</v>
      </c>
    </row>
    <row r="219" spans="1:21" x14ac:dyDescent="0.3">
      <c r="A219">
        <v>218</v>
      </c>
      <c r="B219" t="s">
        <v>23</v>
      </c>
      <c r="C219" t="str">
        <f t="shared" si="13"/>
        <v>10-Jan-2011</v>
      </c>
      <c r="D219">
        <v>1</v>
      </c>
      <c r="E219">
        <v>0</v>
      </c>
      <c r="F219">
        <v>1</v>
      </c>
      <c r="G219" t="str">
        <f t="shared" si="12"/>
        <v>Jan</v>
      </c>
      <c r="H219">
        <v>8</v>
      </c>
      <c r="I219">
        <f t="shared" si="14"/>
        <v>0</v>
      </c>
      <c r="J219" t="s">
        <v>126</v>
      </c>
      <c r="K219">
        <v>1</v>
      </c>
      <c r="L219" t="str">
        <f t="shared" si="15"/>
        <v>Weekday</v>
      </c>
      <c r="M219">
        <v>2</v>
      </c>
      <c r="N219" t="str" cm="1">
        <f t="array" ref="N219">_xlfn.IFS(M219=1,"Sunny Day",M219=2,"Cloudy Day",M219=3,"Rainy Day",M219=4,"Heavy Rain")</f>
        <v>Cloudy Day</v>
      </c>
      <c r="O219">
        <v>0.12</v>
      </c>
      <c r="P219">
        <v>0.1212</v>
      </c>
      <c r="Q219">
        <v>0.5</v>
      </c>
      <c r="R219">
        <v>0.28360000000000002</v>
      </c>
      <c r="S219">
        <v>4</v>
      </c>
      <c r="T219">
        <v>184</v>
      </c>
      <c r="U219">
        <v>188</v>
      </c>
    </row>
    <row r="220" spans="1:21" x14ac:dyDescent="0.3">
      <c r="A220">
        <v>219</v>
      </c>
      <c r="B220" t="s">
        <v>23</v>
      </c>
      <c r="C220" t="str">
        <f t="shared" si="13"/>
        <v>10-Jan-2011</v>
      </c>
      <c r="D220">
        <v>1</v>
      </c>
      <c r="E220">
        <v>0</v>
      </c>
      <c r="F220">
        <v>1</v>
      </c>
      <c r="G220" t="str">
        <f t="shared" si="12"/>
        <v>Jan</v>
      </c>
      <c r="H220">
        <v>9</v>
      </c>
      <c r="I220">
        <f t="shared" si="14"/>
        <v>0</v>
      </c>
      <c r="J220" t="s">
        <v>126</v>
      </c>
      <c r="K220">
        <v>1</v>
      </c>
      <c r="L220" t="str">
        <f t="shared" si="15"/>
        <v>Weekday</v>
      </c>
      <c r="M220">
        <v>2</v>
      </c>
      <c r="N220" t="str" cm="1">
        <f t="array" ref="N220">_xlfn.IFS(M220=1,"Sunny Day",M220=2,"Cloudy Day",M220=3,"Rainy Day",M220=4,"Heavy Rain")</f>
        <v>Cloudy Day</v>
      </c>
      <c r="O220">
        <v>0.14000000000000001</v>
      </c>
      <c r="P220">
        <v>0.1212</v>
      </c>
      <c r="Q220">
        <v>0.5</v>
      </c>
      <c r="R220">
        <v>0.25369999999999998</v>
      </c>
      <c r="S220">
        <v>2</v>
      </c>
      <c r="T220">
        <v>92</v>
      </c>
      <c r="U220">
        <v>94</v>
      </c>
    </row>
    <row r="221" spans="1:21" x14ac:dyDescent="0.3">
      <c r="A221">
        <v>220</v>
      </c>
      <c r="B221" t="s">
        <v>23</v>
      </c>
      <c r="C221" t="str">
        <f t="shared" si="13"/>
        <v>10-Jan-2011</v>
      </c>
      <c r="D221">
        <v>1</v>
      </c>
      <c r="E221">
        <v>0</v>
      </c>
      <c r="F221">
        <v>1</v>
      </c>
      <c r="G221" t="str">
        <f t="shared" si="12"/>
        <v>Jan</v>
      </c>
      <c r="H221">
        <v>10</v>
      </c>
      <c r="I221">
        <f t="shared" si="14"/>
        <v>0</v>
      </c>
      <c r="J221" t="s">
        <v>126</v>
      </c>
      <c r="K221">
        <v>1</v>
      </c>
      <c r="L221" t="str">
        <f t="shared" si="15"/>
        <v>Weekday</v>
      </c>
      <c r="M221">
        <v>2</v>
      </c>
      <c r="N221" t="str" cm="1">
        <f t="array" ref="N221">_xlfn.IFS(M221=1,"Sunny Day",M221=2,"Cloudy Day",M221=3,"Rainy Day",M221=4,"Heavy Rain")</f>
        <v>Cloudy Day</v>
      </c>
      <c r="O221">
        <v>0.14000000000000001</v>
      </c>
      <c r="P221">
        <v>0.1212</v>
      </c>
      <c r="Q221">
        <v>0.5</v>
      </c>
      <c r="R221">
        <v>0.29849999999999999</v>
      </c>
      <c r="S221">
        <v>0</v>
      </c>
      <c r="T221">
        <v>31</v>
      </c>
      <c r="U221">
        <v>31</v>
      </c>
    </row>
    <row r="222" spans="1:21" x14ac:dyDescent="0.3">
      <c r="A222">
        <v>221</v>
      </c>
      <c r="B222" t="s">
        <v>23</v>
      </c>
      <c r="C222" t="str">
        <f t="shared" si="13"/>
        <v>10-Jan-2011</v>
      </c>
      <c r="D222">
        <v>1</v>
      </c>
      <c r="E222">
        <v>0</v>
      </c>
      <c r="F222">
        <v>1</v>
      </c>
      <c r="G222" t="str">
        <f t="shared" si="12"/>
        <v>Jan</v>
      </c>
      <c r="H222">
        <v>11</v>
      </c>
      <c r="I222">
        <f t="shared" si="14"/>
        <v>1</v>
      </c>
      <c r="J222" t="s">
        <v>126</v>
      </c>
      <c r="K222">
        <v>1</v>
      </c>
      <c r="L222" t="str">
        <f t="shared" si="15"/>
        <v>Weekday</v>
      </c>
      <c r="M222">
        <v>2</v>
      </c>
      <c r="N222" t="str" cm="1">
        <f t="array" ref="N222">_xlfn.IFS(M222=1,"Sunny Day",M222=2,"Cloudy Day",M222=3,"Rainy Day",M222=4,"Heavy Rain")</f>
        <v>Cloudy Day</v>
      </c>
      <c r="O222">
        <v>0.16</v>
      </c>
      <c r="P222">
        <v>0.13639999999999999</v>
      </c>
      <c r="Q222">
        <v>0.47</v>
      </c>
      <c r="R222">
        <v>0.28360000000000002</v>
      </c>
      <c r="S222">
        <v>2</v>
      </c>
      <c r="T222">
        <v>28</v>
      </c>
      <c r="U222">
        <v>30</v>
      </c>
    </row>
    <row r="223" spans="1:21" x14ac:dyDescent="0.3">
      <c r="A223">
        <v>222</v>
      </c>
      <c r="B223" t="s">
        <v>23</v>
      </c>
      <c r="C223" t="str">
        <f t="shared" si="13"/>
        <v>10-Jan-2011</v>
      </c>
      <c r="D223">
        <v>1</v>
      </c>
      <c r="E223">
        <v>0</v>
      </c>
      <c r="F223">
        <v>1</v>
      </c>
      <c r="G223" t="str">
        <f t="shared" si="12"/>
        <v>Jan</v>
      </c>
      <c r="H223">
        <v>12</v>
      </c>
      <c r="I223">
        <f t="shared" si="14"/>
        <v>1</v>
      </c>
      <c r="J223" t="s">
        <v>126</v>
      </c>
      <c r="K223">
        <v>1</v>
      </c>
      <c r="L223" t="str">
        <f t="shared" si="15"/>
        <v>Weekday</v>
      </c>
      <c r="M223">
        <v>2</v>
      </c>
      <c r="N223" t="str" cm="1">
        <f t="array" ref="N223">_xlfn.IFS(M223=1,"Sunny Day",M223=2,"Cloudy Day",M223=3,"Rainy Day",M223=4,"Heavy Rain")</f>
        <v>Cloudy Day</v>
      </c>
      <c r="O223">
        <v>0.2</v>
      </c>
      <c r="P223">
        <v>0.18179999999999999</v>
      </c>
      <c r="Q223">
        <v>0.4</v>
      </c>
      <c r="R223">
        <v>0.28360000000000002</v>
      </c>
      <c r="S223">
        <v>5</v>
      </c>
      <c r="T223">
        <v>47</v>
      </c>
      <c r="U223">
        <v>52</v>
      </c>
    </row>
    <row r="224" spans="1:21" x14ac:dyDescent="0.3">
      <c r="A224">
        <v>223</v>
      </c>
      <c r="B224" t="s">
        <v>23</v>
      </c>
      <c r="C224" t="str">
        <f t="shared" si="13"/>
        <v>10-Jan-2011</v>
      </c>
      <c r="D224">
        <v>1</v>
      </c>
      <c r="E224">
        <v>0</v>
      </c>
      <c r="F224">
        <v>1</v>
      </c>
      <c r="G224" t="str">
        <f t="shared" si="12"/>
        <v>Jan</v>
      </c>
      <c r="H224">
        <v>13</v>
      </c>
      <c r="I224">
        <f t="shared" si="14"/>
        <v>1</v>
      </c>
      <c r="J224" t="s">
        <v>126</v>
      </c>
      <c r="K224">
        <v>1</v>
      </c>
      <c r="L224" t="str">
        <f t="shared" si="15"/>
        <v>Weekday</v>
      </c>
      <c r="M224">
        <v>2</v>
      </c>
      <c r="N224" t="str" cm="1">
        <f t="array" ref="N224">_xlfn.IFS(M224=1,"Sunny Day",M224=2,"Cloudy Day",M224=3,"Rainy Day",M224=4,"Heavy Rain")</f>
        <v>Cloudy Day</v>
      </c>
      <c r="O224">
        <v>0.2</v>
      </c>
      <c r="P224">
        <v>0.18179999999999999</v>
      </c>
      <c r="Q224">
        <v>0.4</v>
      </c>
      <c r="R224">
        <v>0.28360000000000002</v>
      </c>
      <c r="S224">
        <v>4</v>
      </c>
      <c r="T224">
        <v>50</v>
      </c>
      <c r="U224">
        <v>54</v>
      </c>
    </row>
    <row r="225" spans="1:21" x14ac:dyDescent="0.3">
      <c r="A225">
        <v>224</v>
      </c>
      <c r="B225" t="s">
        <v>23</v>
      </c>
      <c r="C225" t="str">
        <f t="shared" si="13"/>
        <v>10-Jan-2011</v>
      </c>
      <c r="D225">
        <v>1</v>
      </c>
      <c r="E225">
        <v>0</v>
      </c>
      <c r="F225">
        <v>1</v>
      </c>
      <c r="G225" t="str">
        <f t="shared" si="12"/>
        <v>Jan</v>
      </c>
      <c r="H225">
        <v>14</v>
      </c>
      <c r="I225">
        <f t="shared" si="14"/>
        <v>1</v>
      </c>
      <c r="J225" t="s">
        <v>126</v>
      </c>
      <c r="K225">
        <v>1</v>
      </c>
      <c r="L225" t="str">
        <f t="shared" si="15"/>
        <v>Weekday</v>
      </c>
      <c r="M225">
        <v>2</v>
      </c>
      <c r="N225" t="str" cm="1">
        <f t="array" ref="N225">_xlfn.IFS(M225=1,"Sunny Day",M225=2,"Cloudy Day",M225=3,"Rainy Day",M225=4,"Heavy Rain")</f>
        <v>Cloudy Day</v>
      </c>
      <c r="O225">
        <v>0.2</v>
      </c>
      <c r="P225">
        <v>0.19700000000000001</v>
      </c>
      <c r="Q225">
        <v>0.4</v>
      </c>
      <c r="R225">
        <v>0.22389999999999999</v>
      </c>
      <c r="S225">
        <v>0</v>
      </c>
      <c r="T225">
        <v>47</v>
      </c>
      <c r="U225">
        <v>47</v>
      </c>
    </row>
    <row r="226" spans="1:21" x14ac:dyDescent="0.3">
      <c r="A226">
        <v>225</v>
      </c>
      <c r="B226" t="s">
        <v>23</v>
      </c>
      <c r="C226" t="str">
        <f t="shared" si="13"/>
        <v>10-Jan-2011</v>
      </c>
      <c r="D226">
        <v>1</v>
      </c>
      <c r="E226">
        <v>0</v>
      </c>
      <c r="F226">
        <v>1</v>
      </c>
      <c r="G226" t="str">
        <f t="shared" si="12"/>
        <v>Jan</v>
      </c>
      <c r="H226">
        <v>15</v>
      </c>
      <c r="I226">
        <f t="shared" si="14"/>
        <v>1</v>
      </c>
      <c r="J226" t="s">
        <v>126</v>
      </c>
      <c r="K226">
        <v>1</v>
      </c>
      <c r="L226" t="str">
        <f t="shared" si="15"/>
        <v>Weekday</v>
      </c>
      <c r="M226">
        <v>2</v>
      </c>
      <c r="N226" t="str" cm="1">
        <f t="array" ref="N226">_xlfn.IFS(M226=1,"Sunny Day",M226=2,"Cloudy Day",M226=3,"Rainy Day",M226=4,"Heavy Rain")</f>
        <v>Cloudy Day</v>
      </c>
      <c r="O226">
        <v>0.2</v>
      </c>
      <c r="P226">
        <v>0.19700000000000001</v>
      </c>
      <c r="Q226">
        <v>0.4</v>
      </c>
      <c r="R226">
        <v>0.22389999999999999</v>
      </c>
      <c r="S226">
        <v>2</v>
      </c>
      <c r="T226">
        <v>43</v>
      </c>
      <c r="U226">
        <v>45</v>
      </c>
    </row>
    <row r="227" spans="1:21" x14ac:dyDescent="0.3">
      <c r="A227">
        <v>226</v>
      </c>
      <c r="B227" t="s">
        <v>23</v>
      </c>
      <c r="C227" t="str">
        <f t="shared" si="13"/>
        <v>10-Jan-2011</v>
      </c>
      <c r="D227">
        <v>1</v>
      </c>
      <c r="E227">
        <v>0</v>
      </c>
      <c r="F227">
        <v>1</v>
      </c>
      <c r="G227" t="str">
        <f t="shared" si="12"/>
        <v>Jan</v>
      </c>
      <c r="H227">
        <v>16</v>
      </c>
      <c r="I227">
        <f t="shared" si="14"/>
        <v>1</v>
      </c>
      <c r="J227" t="s">
        <v>126</v>
      </c>
      <c r="K227">
        <v>1</v>
      </c>
      <c r="L227" t="str">
        <f t="shared" si="15"/>
        <v>Weekday</v>
      </c>
      <c r="M227">
        <v>1</v>
      </c>
      <c r="N227" t="str" cm="1">
        <f t="array" ref="N227">_xlfn.IFS(M227=1,"Sunny Day",M227=2,"Cloudy Day",M227=3,"Rainy Day",M227=4,"Heavy Rain")</f>
        <v>Sunny Day</v>
      </c>
      <c r="O227">
        <v>0.2</v>
      </c>
      <c r="P227">
        <v>0.21210000000000001</v>
      </c>
      <c r="Q227">
        <v>0.4</v>
      </c>
      <c r="R227">
        <v>0.1343</v>
      </c>
      <c r="S227">
        <v>4</v>
      </c>
      <c r="T227">
        <v>70</v>
      </c>
      <c r="U227">
        <v>74</v>
      </c>
    </row>
    <row r="228" spans="1:21" x14ac:dyDescent="0.3">
      <c r="A228">
        <v>227</v>
      </c>
      <c r="B228" t="s">
        <v>23</v>
      </c>
      <c r="C228" t="str">
        <f t="shared" si="13"/>
        <v>10-Jan-2011</v>
      </c>
      <c r="D228">
        <v>1</v>
      </c>
      <c r="E228">
        <v>0</v>
      </c>
      <c r="F228">
        <v>1</v>
      </c>
      <c r="G228" t="str">
        <f t="shared" si="12"/>
        <v>Jan</v>
      </c>
      <c r="H228">
        <v>17</v>
      </c>
      <c r="I228">
        <f t="shared" si="14"/>
        <v>1</v>
      </c>
      <c r="J228" t="s">
        <v>126</v>
      </c>
      <c r="K228">
        <v>1</v>
      </c>
      <c r="L228" t="str">
        <f t="shared" si="15"/>
        <v>Weekday</v>
      </c>
      <c r="M228">
        <v>1</v>
      </c>
      <c r="N228" t="str" cm="1">
        <f t="array" ref="N228">_xlfn.IFS(M228=1,"Sunny Day",M228=2,"Cloudy Day",M228=3,"Rainy Day",M228=4,"Heavy Rain")</f>
        <v>Sunny Day</v>
      </c>
      <c r="O228">
        <v>0.2</v>
      </c>
      <c r="P228">
        <v>0.2273</v>
      </c>
      <c r="Q228">
        <v>0.4</v>
      </c>
      <c r="R228">
        <v>0.1045</v>
      </c>
      <c r="S228">
        <v>4</v>
      </c>
      <c r="T228">
        <v>174</v>
      </c>
      <c r="U228">
        <v>178</v>
      </c>
    </row>
    <row r="229" spans="1:21" x14ac:dyDescent="0.3">
      <c r="A229">
        <v>228</v>
      </c>
      <c r="B229" t="s">
        <v>23</v>
      </c>
      <c r="C229" t="str">
        <f t="shared" si="13"/>
        <v>10-Jan-2011</v>
      </c>
      <c r="D229">
        <v>1</v>
      </c>
      <c r="E229">
        <v>0</v>
      </c>
      <c r="F229">
        <v>1</v>
      </c>
      <c r="G229" t="str">
        <f t="shared" si="12"/>
        <v>Jan</v>
      </c>
      <c r="H229">
        <v>18</v>
      </c>
      <c r="I229">
        <f t="shared" si="14"/>
        <v>1</v>
      </c>
      <c r="J229" t="s">
        <v>126</v>
      </c>
      <c r="K229">
        <v>1</v>
      </c>
      <c r="L229" t="str">
        <f t="shared" si="15"/>
        <v>Weekday</v>
      </c>
      <c r="M229">
        <v>1</v>
      </c>
      <c r="N229" t="str" cm="1">
        <f t="array" ref="N229">_xlfn.IFS(M229=1,"Sunny Day",M229=2,"Cloudy Day",M229=3,"Rainy Day",M229=4,"Heavy Rain")</f>
        <v>Sunny Day</v>
      </c>
      <c r="O229">
        <v>0.2</v>
      </c>
      <c r="P229">
        <v>0.19700000000000001</v>
      </c>
      <c r="Q229">
        <v>0.4</v>
      </c>
      <c r="R229">
        <v>0.22389999999999999</v>
      </c>
      <c r="S229">
        <v>1</v>
      </c>
      <c r="T229">
        <v>154</v>
      </c>
      <c r="U229">
        <v>155</v>
      </c>
    </row>
    <row r="230" spans="1:21" x14ac:dyDescent="0.3">
      <c r="A230">
        <v>229</v>
      </c>
      <c r="B230" t="s">
        <v>23</v>
      </c>
      <c r="C230" t="str">
        <f t="shared" si="13"/>
        <v>10-Jan-2011</v>
      </c>
      <c r="D230">
        <v>1</v>
      </c>
      <c r="E230">
        <v>0</v>
      </c>
      <c r="F230">
        <v>1</v>
      </c>
      <c r="G230" t="str">
        <f t="shared" si="12"/>
        <v>Jan</v>
      </c>
      <c r="H230">
        <v>19</v>
      </c>
      <c r="I230">
        <f t="shared" si="14"/>
        <v>1</v>
      </c>
      <c r="J230" t="s">
        <v>126</v>
      </c>
      <c r="K230">
        <v>1</v>
      </c>
      <c r="L230" t="str">
        <f t="shared" si="15"/>
        <v>Weekday</v>
      </c>
      <c r="M230">
        <v>1</v>
      </c>
      <c r="N230" t="str" cm="1">
        <f t="array" ref="N230">_xlfn.IFS(M230=1,"Sunny Day",M230=2,"Cloudy Day",M230=3,"Rainy Day",M230=4,"Heavy Rain")</f>
        <v>Sunny Day</v>
      </c>
      <c r="O230">
        <v>0.16</v>
      </c>
      <c r="P230">
        <v>0.16669999999999999</v>
      </c>
      <c r="Q230">
        <v>0.47</v>
      </c>
      <c r="R230">
        <v>0.16420000000000001</v>
      </c>
      <c r="S230">
        <v>3</v>
      </c>
      <c r="T230">
        <v>92</v>
      </c>
      <c r="U230">
        <v>95</v>
      </c>
    </row>
    <row r="231" spans="1:21" x14ac:dyDescent="0.3">
      <c r="A231">
        <v>230</v>
      </c>
      <c r="B231" t="s">
        <v>23</v>
      </c>
      <c r="C231" t="str">
        <f t="shared" si="13"/>
        <v>10-Jan-2011</v>
      </c>
      <c r="D231">
        <v>1</v>
      </c>
      <c r="E231">
        <v>0</v>
      </c>
      <c r="F231">
        <v>1</v>
      </c>
      <c r="G231" t="str">
        <f t="shared" si="12"/>
        <v>Jan</v>
      </c>
      <c r="H231">
        <v>20</v>
      </c>
      <c r="I231">
        <f t="shared" si="14"/>
        <v>1</v>
      </c>
      <c r="J231" t="s">
        <v>126</v>
      </c>
      <c r="K231">
        <v>1</v>
      </c>
      <c r="L231" t="str">
        <f t="shared" si="15"/>
        <v>Weekday</v>
      </c>
      <c r="M231">
        <v>1</v>
      </c>
      <c r="N231" t="str" cm="1">
        <f t="array" ref="N231">_xlfn.IFS(M231=1,"Sunny Day",M231=2,"Cloudy Day",M231=3,"Rainy Day",M231=4,"Heavy Rain")</f>
        <v>Sunny Day</v>
      </c>
      <c r="O231">
        <v>0.16</v>
      </c>
      <c r="P231">
        <v>0.16669999999999999</v>
      </c>
      <c r="Q231">
        <v>0.5</v>
      </c>
      <c r="R231">
        <v>0.16420000000000001</v>
      </c>
      <c r="S231">
        <v>1</v>
      </c>
      <c r="T231">
        <v>73</v>
      </c>
      <c r="U231">
        <v>74</v>
      </c>
    </row>
    <row r="232" spans="1:21" x14ac:dyDescent="0.3">
      <c r="A232">
        <v>231</v>
      </c>
      <c r="B232" t="s">
        <v>23</v>
      </c>
      <c r="C232" t="str">
        <f t="shared" si="13"/>
        <v>10-Jan-2011</v>
      </c>
      <c r="D232">
        <v>1</v>
      </c>
      <c r="E232">
        <v>0</v>
      </c>
      <c r="F232">
        <v>1</v>
      </c>
      <c r="G232" t="str">
        <f t="shared" si="12"/>
        <v>Jan</v>
      </c>
      <c r="H232">
        <v>21</v>
      </c>
      <c r="I232">
        <f t="shared" si="14"/>
        <v>1</v>
      </c>
      <c r="J232" t="s">
        <v>126</v>
      </c>
      <c r="K232">
        <v>1</v>
      </c>
      <c r="L232" t="str">
        <f t="shared" si="15"/>
        <v>Weekday</v>
      </c>
      <c r="M232">
        <v>1</v>
      </c>
      <c r="N232" t="str" cm="1">
        <f t="array" ref="N232">_xlfn.IFS(M232=1,"Sunny Day",M232=2,"Cloudy Day",M232=3,"Rainy Day",M232=4,"Heavy Rain")</f>
        <v>Sunny Day</v>
      </c>
      <c r="O232">
        <v>0.14000000000000001</v>
      </c>
      <c r="P232">
        <v>0.13639999999999999</v>
      </c>
      <c r="Q232">
        <v>0.59</v>
      </c>
      <c r="R232">
        <v>0.19400000000000001</v>
      </c>
      <c r="S232">
        <v>1</v>
      </c>
      <c r="T232">
        <v>37</v>
      </c>
      <c r="U232">
        <v>38</v>
      </c>
    </row>
    <row r="233" spans="1:21" x14ac:dyDescent="0.3">
      <c r="A233">
        <v>232</v>
      </c>
      <c r="B233" t="s">
        <v>23</v>
      </c>
      <c r="C233" t="str">
        <f t="shared" si="13"/>
        <v>10-Jan-2011</v>
      </c>
      <c r="D233">
        <v>1</v>
      </c>
      <c r="E233">
        <v>0</v>
      </c>
      <c r="F233">
        <v>1</v>
      </c>
      <c r="G233" t="str">
        <f t="shared" si="12"/>
        <v>Jan</v>
      </c>
      <c r="H233">
        <v>22</v>
      </c>
      <c r="I233">
        <f t="shared" si="14"/>
        <v>1</v>
      </c>
      <c r="J233" t="s">
        <v>126</v>
      </c>
      <c r="K233">
        <v>1</v>
      </c>
      <c r="L233" t="str">
        <f t="shared" si="15"/>
        <v>Weekday</v>
      </c>
      <c r="M233">
        <v>1</v>
      </c>
      <c r="N233" t="str" cm="1">
        <f t="array" ref="N233">_xlfn.IFS(M233=1,"Sunny Day",M233=2,"Cloudy Day",M233=3,"Rainy Day",M233=4,"Heavy Rain")</f>
        <v>Sunny Day</v>
      </c>
      <c r="O233">
        <v>0.14000000000000001</v>
      </c>
      <c r="P233">
        <v>0.1515</v>
      </c>
      <c r="Q233">
        <v>0.59</v>
      </c>
      <c r="R233">
        <v>0.16420000000000001</v>
      </c>
      <c r="S233">
        <v>2</v>
      </c>
      <c r="T233">
        <v>22</v>
      </c>
      <c r="U233">
        <v>24</v>
      </c>
    </row>
    <row r="234" spans="1:21" x14ac:dyDescent="0.3">
      <c r="A234">
        <v>233</v>
      </c>
      <c r="B234" t="s">
        <v>23</v>
      </c>
      <c r="C234" t="str">
        <f t="shared" si="13"/>
        <v>10-Jan-2011</v>
      </c>
      <c r="D234">
        <v>1</v>
      </c>
      <c r="E234">
        <v>0</v>
      </c>
      <c r="F234">
        <v>1</v>
      </c>
      <c r="G234" t="str">
        <f t="shared" si="12"/>
        <v>Jan</v>
      </c>
      <c r="H234">
        <v>23</v>
      </c>
      <c r="I234">
        <f t="shared" si="14"/>
        <v>1</v>
      </c>
      <c r="J234" t="s">
        <v>126</v>
      </c>
      <c r="K234">
        <v>1</v>
      </c>
      <c r="L234" t="str">
        <f t="shared" si="15"/>
        <v>Weekday</v>
      </c>
      <c r="M234">
        <v>1</v>
      </c>
      <c r="N234" t="str" cm="1">
        <f t="array" ref="N234">_xlfn.IFS(M234=1,"Sunny Day",M234=2,"Cloudy Day",M234=3,"Rainy Day",M234=4,"Heavy Rain")</f>
        <v>Sunny Day</v>
      </c>
      <c r="O234">
        <v>0.14000000000000001</v>
      </c>
      <c r="P234">
        <v>0.1515</v>
      </c>
      <c r="Q234">
        <v>0.59</v>
      </c>
      <c r="R234">
        <v>0.16420000000000001</v>
      </c>
      <c r="S234">
        <v>0</v>
      </c>
      <c r="T234">
        <v>18</v>
      </c>
      <c r="U234">
        <v>18</v>
      </c>
    </row>
    <row r="235" spans="1:21" x14ac:dyDescent="0.3">
      <c r="A235">
        <v>234</v>
      </c>
      <c r="B235" t="s">
        <v>25</v>
      </c>
      <c r="C235" t="str">
        <f t="shared" si="13"/>
        <v>11-Jan-2011</v>
      </c>
      <c r="D235">
        <v>1</v>
      </c>
      <c r="E235">
        <v>0</v>
      </c>
      <c r="F235">
        <v>1</v>
      </c>
      <c r="G235" t="str">
        <f t="shared" si="12"/>
        <v>Jan</v>
      </c>
      <c r="H235">
        <v>0</v>
      </c>
      <c r="I235">
        <f t="shared" si="14"/>
        <v>0</v>
      </c>
      <c r="J235" t="s">
        <v>126</v>
      </c>
      <c r="K235">
        <v>2</v>
      </c>
      <c r="L235" t="str">
        <f t="shared" si="15"/>
        <v>Weekday</v>
      </c>
      <c r="M235">
        <v>1</v>
      </c>
      <c r="N235" t="str" cm="1">
        <f t="array" ref="N235">_xlfn.IFS(M235=1,"Sunny Day",M235=2,"Cloudy Day",M235=3,"Rainy Day",M235=4,"Heavy Rain")</f>
        <v>Sunny Day</v>
      </c>
      <c r="O235">
        <v>0.14000000000000001</v>
      </c>
      <c r="P235">
        <v>0.16669999999999999</v>
      </c>
      <c r="Q235">
        <v>0.59</v>
      </c>
      <c r="R235">
        <v>0.1045</v>
      </c>
      <c r="S235">
        <v>2</v>
      </c>
      <c r="T235">
        <v>10</v>
      </c>
      <c r="U235">
        <v>12</v>
      </c>
    </row>
    <row r="236" spans="1:21" x14ac:dyDescent="0.3">
      <c r="A236">
        <v>235</v>
      </c>
      <c r="B236" t="s">
        <v>25</v>
      </c>
      <c r="C236" t="str">
        <f t="shared" si="13"/>
        <v>11-Jan-2011</v>
      </c>
      <c r="D236">
        <v>1</v>
      </c>
      <c r="E236">
        <v>0</v>
      </c>
      <c r="F236">
        <v>1</v>
      </c>
      <c r="G236" t="str">
        <f t="shared" si="12"/>
        <v>Jan</v>
      </c>
      <c r="H236">
        <v>1</v>
      </c>
      <c r="I236">
        <f t="shared" si="14"/>
        <v>0</v>
      </c>
      <c r="J236" t="s">
        <v>126</v>
      </c>
      <c r="K236">
        <v>2</v>
      </c>
      <c r="L236" t="str">
        <f t="shared" si="15"/>
        <v>Weekday</v>
      </c>
      <c r="M236">
        <v>1</v>
      </c>
      <c r="N236" t="str" cm="1">
        <f t="array" ref="N236">_xlfn.IFS(M236=1,"Sunny Day",M236=2,"Cloudy Day",M236=3,"Rainy Day",M236=4,"Heavy Rain")</f>
        <v>Sunny Day</v>
      </c>
      <c r="O236">
        <v>0.14000000000000001</v>
      </c>
      <c r="P236">
        <v>0.1515</v>
      </c>
      <c r="Q236">
        <v>0.59</v>
      </c>
      <c r="R236">
        <v>0.16420000000000001</v>
      </c>
      <c r="S236">
        <v>0</v>
      </c>
      <c r="T236">
        <v>3</v>
      </c>
      <c r="U236">
        <v>3</v>
      </c>
    </row>
    <row r="237" spans="1:21" x14ac:dyDescent="0.3">
      <c r="A237">
        <v>236</v>
      </c>
      <c r="B237" t="s">
        <v>25</v>
      </c>
      <c r="C237" t="str">
        <f t="shared" si="13"/>
        <v>11-Jan-2011</v>
      </c>
      <c r="D237">
        <v>1</v>
      </c>
      <c r="E237">
        <v>0</v>
      </c>
      <c r="F237">
        <v>1</v>
      </c>
      <c r="G237" t="str">
        <f t="shared" si="12"/>
        <v>Jan</v>
      </c>
      <c r="H237">
        <v>2</v>
      </c>
      <c r="I237">
        <f t="shared" si="14"/>
        <v>0</v>
      </c>
      <c r="J237" t="s">
        <v>126</v>
      </c>
      <c r="K237">
        <v>2</v>
      </c>
      <c r="L237" t="str">
        <f t="shared" si="15"/>
        <v>Weekday</v>
      </c>
      <c r="M237">
        <v>2</v>
      </c>
      <c r="N237" t="str" cm="1">
        <f t="array" ref="N237">_xlfn.IFS(M237=1,"Sunny Day",M237=2,"Cloudy Day",M237=3,"Rainy Day",M237=4,"Heavy Rain")</f>
        <v>Cloudy Day</v>
      </c>
      <c r="O237">
        <v>0.16</v>
      </c>
      <c r="P237">
        <v>0.1515</v>
      </c>
      <c r="Q237">
        <v>0.55000000000000004</v>
      </c>
      <c r="R237">
        <v>0.19400000000000001</v>
      </c>
      <c r="S237">
        <v>0</v>
      </c>
      <c r="T237">
        <v>3</v>
      </c>
      <c r="U237">
        <v>3</v>
      </c>
    </row>
    <row r="238" spans="1:21" x14ac:dyDescent="0.3">
      <c r="A238">
        <v>237</v>
      </c>
      <c r="B238" t="s">
        <v>25</v>
      </c>
      <c r="C238" t="str">
        <f t="shared" si="13"/>
        <v>11-Jan-2011</v>
      </c>
      <c r="D238">
        <v>1</v>
      </c>
      <c r="E238">
        <v>0</v>
      </c>
      <c r="F238">
        <v>1</v>
      </c>
      <c r="G238" t="str">
        <f t="shared" si="12"/>
        <v>Jan</v>
      </c>
      <c r="H238">
        <v>5</v>
      </c>
      <c r="I238">
        <f t="shared" si="14"/>
        <v>0</v>
      </c>
      <c r="J238" t="s">
        <v>126</v>
      </c>
      <c r="K238">
        <v>2</v>
      </c>
      <c r="L238" t="str">
        <f t="shared" si="15"/>
        <v>Weekday</v>
      </c>
      <c r="M238">
        <v>2</v>
      </c>
      <c r="N238" t="str" cm="1">
        <f t="array" ref="N238">_xlfn.IFS(M238=1,"Sunny Day",M238=2,"Cloudy Day",M238=3,"Rainy Day",M238=4,"Heavy Rain")</f>
        <v>Cloudy Day</v>
      </c>
      <c r="O238">
        <v>0.16</v>
      </c>
      <c r="P238">
        <v>0.18179999999999999</v>
      </c>
      <c r="Q238">
        <v>0.55000000000000004</v>
      </c>
      <c r="R238">
        <v>0.1343</v>
      </c>
      <c r="S238">
        <v>0</v>
      </c>
      <c r="T238">
        <v>6</v>
      </c>
      <c r="U238">
        <v>6</v>
      </c>
    </row>
    <row r="239" spans="1:21" x14ac:dyDescent="0.3">
      <c r="A239">
        <v>238</v>
      </c>
      <c r="B239" t="s">
        <v>25</v>
      </c>
      <c r="C239" t="str">
        <f t="shared" si="13"/>
        <v>11-Jan-2011</v>
      </c>
      <c r="D239">
        <v>1</v>
      </c>
      <c r="E239">
        <v>0</v>
      </c>
      <c r="F239">
        <v>1</v>
      </c>
      <c r="G239" t="str">
        <f t="shared" si="12"/>
        <v>Jan</v>
      </c>
      <c r="H239">
        <v>6</v>
      </c>
      <c r="I239">
        <f t="shared" si="14"/>
        <v>0</v>
      </c>
      <c r="J239" t="s">
        <v>126</v>
      </c>
      <c r="K239">
        <v>2</v>
      </c>
      <c r="L239" t="str">
        <f t="shared" si="15"/>
        <v>Weekday</v>
      </c>
      <c r="M239">
        <v>2</v>
      </c>
      <c r="N239" t="str" cm="1">
        <f t="array" ref="N239">_xlfn.IFS(M239=1,"Sunny Day",M239=2,"Cloudy Day",M239=3,"Rainy Day",M239=4,"Heavy Rain")</f>
        <v>Cloudy Day</v>
      </c>
      <c r="O239">
        <v>0.16</v>
      </c>
      <c r="P239">
        <v>0.18179999999999999</v>
      </c>
      <c r="Q239">
        <v>0.55000000000000004</v>
      </c>
      <c r="R239">
        <v>0.1343</v>
      </c>
      <c r="S239">
        <v>0</v>
      </c>
      <c r="T239">
        <v>27</v>
      </c>
      <c r="U239">
        <v>27</v>
      </c>
    </row>
    <row r="240" spans="1:21" x14ac:dyDescent="0.3">
      <c r="A240">
        <v>239</v>
      </c>
      <c r="B240" t="s">
        <v>25</v>
      </c>
      <c r="C240" t="str">
        <f t="shared" si="13"/>
        <v>11-Jan-2011</v>
      </c>
      <c r="D240">
        <v>1</v>
      </c>
      <c r="E240">
        <v>0</v>
      </c>
      <c r="F240">
        <v>1</v>
      </c>
      <c r="G240" t="str">
        <f t="shared" si="12"/>
        <v>Jan</v>
      </c>
      <c r="H240">
        <v>7</v>
      </c>
      <c r="I240">
        <f t="shared" si="14"/>
        <v>0</v>
      </c>
      <c r="J240" t="s">
        <v>126</v>
      </c>
      <c r="K240">
        <v>2</v>
      </c>
      <c r="L240" t="str">
        <f t="shared" si="15"/>
        <v>Weekday</v>
      </c>
      <c r="M240">
        <v>2</v>
      </c>
      <c r="N240" t="str" cm="1">
        <f t="array" ref="N240">_xlfn.IFS(M240=1,"Sunny Day",M240=2,"Cloudy Day",M240=3,"Rainy Day",M240=4,"Heavy Rain")</f>
        <v>Cloudy Day</v>
      </c>
      <c r="O240">
        <v>0.16</v>
      </c>
      <c r="P240">
        <v>0.2273</v>
      </c>
      <c r="Q240">
        <v>0.55000000000000004</v>
      </c>
      <c r="R240">
        <v>0</v>
      </c>
      <c r="S240">
        <v>2</v>
      </c>
      <c r="T240">
        <v>97</v>
      </c>
      <c r="U240">
        <v>99</v>
      </c>
    </row>
    <row r="241" spans="1:21" x14ac:dyDescent="0.3">
      <c r="A241">
        <v>240</v>
      </c>
      <c r="B241" t="s">
        <v>25</v>
      </c>
      <c r="C241" t="str">
        <f t="shared" si="13"/>
        <v>11-Jan-2011</v>
      </c>
      <c r="D241">
        <v>1</v>
      </c>
      <c r="E241">
        <v>0</v>
      </c>
      <c r="F241">
        <v>1</v>
      </c>
      <c r="G241" t="str">
        <f t="shared" si="12"/>
        <v>Jan</v>
      </c>
      <c r="H241">
        <v>8</v>
      </c>
      <c r="I241">
        <f t="shared" si="14"/>
        <v>0</v>
      </c>
      <c r="J241" t="s">
        <v>126</v>
      </c>
      <c r="K241">
        <v>2</v>
      </c>
      <c r="L241" t="str">
        <f t="shared" si="15"/>
        <v>Weekday</v>
      </c>
      <c r="M241">
        <v>2</v>
      </c>
      <c r="N241" t="str" cm="1">
        <f t="array" ref="N241">_xlfn.IFS(M241=1,"Sunny Day",M241=2,"Cloudy Day",M241=3,"Rainy Day",M241=4,"Heavy Rain")</f>
        <v>Cloudy Day</v>
      </c>
      <c r="O241">
        <v>0.18</v>
      </c>
      <c r="P241">
        <v>0.21210000000000001</v>
      </c>
      <c r="Q241">
        <v>0.51</v>
      </c>
      <c r="R241">
        <v>8.9599999999999999E-2</v>
      </c>
      <c r="S241">
        <v>3</v>
      </c>
      <c r="T241">
        <v>214</v>
      </c>
      <c r="U241">
        <v>217</v>
      </c>
    </row>
    <row r="242" spans="1:21" x14ac:dyDescent="0.3">
      <c r="A242">
        <v>241</v>
      </c>
      <c r="B242" t="s">
        <v>25</v>
      </c>
      <c r="C242" t="str">
        <f t="shared" si="13"/>
        <v>11-Jan-2011</v>
      </c>
      <c r="D242">
        <v>1</v>
      </c>
      <c r="E242">
        <v>0</v>
      </c>
      <c r="F242">
        <v>1</v>
      </c>
      <c r="G242" t="str">
        <f t="shared" si="12"/>
        <v>Jan</v>
      </c>
      <c r="H242">
        <v>9</v>
      </c>
      <c r="I242">
        <f t="shared" si="14"/>
        <v>0</v>
      </c>
      <c r="J242" t="s">
        <v>126</v>
      </c>
      <c r="K242">
        <v>2</v>
      </c>
      <c r="L242" t="str">
        <f t="shared" si="15"/>
        <v>Weekday</v>
      </c>
      <c r="M242">
        <v>2</v>
      </c>
      <c r="N242" t="str" cm="1">
        <f t="array" ref="N242">_xlfn.IFS(M242=1,"Sunny Day",M242=2,"Cloudy Day",M242=3,"Rainy Day",M242=4,"Heavy Rain")</f>
        <v>Cloudy Day</v>
      </c>
      <c r="O242">
        <v>0.18</v>
      </c>
      <c r="P242">
        <v>0.19700000000000001</v>
      </c>
      <c r="Q242">
        <v>0.51</v>
      </c>
      <c r="R242">
        <v>0.16420000000000001</v>
      </c>
      <c r="S242">
        <v>3</v>
      </c>
      <c r="T242">
        <v>127</v>
      </c>
      <c r="U242">
        <v>130</v>
      </c>
    </row>
    <row r="243" spans="1:21" x14ac:dyDescent="0.3">
      <c r="A243">
        <v>242</v>
      </c>
      <c r="B243" t="s">
        <v>25</v>
      </c>
      <c r="C243" t="str">
        <f t="shared" si="13"/>
        <v>11-Jan-2011</v>
      </c>
      <c r="D243">
        <v>1</v>
      </c>
      <c r="E243">
        <v>0</v>
      </c>
      <c r="F243">
        <v>1</v>
      </c>
      <c r="G243" t="str">
        <f t="shared" si="12"/>
        <v>Jan</v>
      </c>
      <c r="H243">
        <v>10</v>
      </c>
      <c r="I243">
        <f t="shared" si="14"/>
        <v>0</v>
      </c>
      <c r="J243" t="s">
        <v>126</v>
      </c>
      <c r="K243">
        <v>2</v>
      </c>
      <c r="L243" t="str">
        <f t="shared" si="15"/>
        <v>Weekday</v>
      </c>
      <c r="M243">
        <v>2</v>
      </c>
      <c r="N243" t="str" cm="1">
        <f t="array" ref="N243">_xlfn.IFS(M243=1,"Sunny Day",M243=2,"Cloudy Day",M243=3,"Rainy Day",M243=4,"Heavy Rain")</f>
        <v>Cloudy Day</v>
      </c>
      <c r="O243">
        <v>0.2</v>
      </c>
      <c r="P243">
        <v>0.21210000000000001</v>
      </c>
      <c r="Q243">
        <v>0.51</v>
      </c>
      <c r="R243">
        <v>0.16420000000000001</v>
      </c>
      <c r="S243">
        <v>3</v>
      </c>
      <c r="T243">
        <v>51</v>
      </c>
      <c r="U243">
        <v>54</v>
      </c>
    </row>
    <row r="244" spans="1:21" x14ac:dyDescent="0.3">
      <c r="A244">
        <v>243</v>
      </c>
      <c r="B244" t="s">
        <v>25</v>
      </c>
      <c r="C244" t="str">
        <f t="shared" si="13"/>
        <v>11-Jan-2011</v>
      </c>
      <c r="D244">
        <v>1</v>
      </c>
      <c r="E244">
        <v>0</v>
      </c>
      <c r="F244">
        <v>1</v>
      </c>
      <c r="G244" t="str">
        <f t="shared" si="12"/>
        <v>Jan</v>
      </c>
      <c r="H244">
        <v>11</v>
      </c>
      <c r="I244">
        <f t="shared" si="14"/>
        <v>1</v>
      </c>
      <c r="J244" t="s">
        <v>126</v>
      </c>
      <c r="K244">
        <v>2</v>
      </c>
      <c r="L244" t="str">
        <f t="shared" si="15"/>
        <v>Weekday</v>
      </c>
      <c r="M244">
        <v>2</v>
      </c>
      <c r="N244" t="str" cm="1">
        <f t="array" ref="N244">_xlfn.IFS(M244=1,"Sunny Day",M244=2,"Cloudy Day",M244=3,"Rainy Day",M244=4,"Heavy Rain")</f>
        <v>Cloudy Day</v>
      </c>
      <c r="O244">
        <v>0.2</v>
      </c>
      <c r="P244">
        <v>0.21210000000000001</v>
      </c>
      <c r="Q244">
        <v>0.47</v>
      </c>
      <c r="R244">
        <v>0.1343</v>
      </c>
      <c r="S244">
        <v>4</v>
      </c>
      <c r="T244">
        <v>31</v>
      </c>
      <c r="U244">
        <v>35</v>
      </c>
    </row>
    <row r="245" spans="1:21" x14ac:dyDescent="0.3">
      <c r="A245">
        <v>244</v>
      </c>
      <c r="B245" t="s">
        <v>25</v>
      </c>
      <c r="C245" t="str">
        <f t="shared" si="13"/>
        <v>11-Jan-2011</v>
      </c>
      <c r="D245">
        <v>1</v>
      </c>
      <c r="E245">
        <v>0</v>
      </c>
      <c r="F245">
        <v>1</v>
      </c>
      <c r="G245" t="str">
        <f t="shared" si="12"/>
        <v>Jan</v>
      </c>
      <c r="H245">
        <v>12</v>
      </c>
      <c r="I245">
        <f t="shared" si="14"/>
        <v>1</v>
      </c>
      <c r="J245" t="s">
        <v>126</v>
      </c>
      <c r="K245">
        <v>2</v>
      </c>
      <c r="L245" t="str">
        <f t="shared" si="15"/>
        <v>Weekday</v>
      </c>
      <c r="M245">
        <v>2</v>
      </c>
      <c r="N245" t="str" cm="1">
        <f t="array" ref="N245">_xlfn.IFS(M245=1,"Sunny Day",M245=2,"Cloudy Day",M245=3,"Rainy Day",M245=4,"Heavy Rain")</f>
        <v>Cloudy Day</v>
      </c>
      <c r="O245">
        <v>0.2</v>
      </c>
      <c r="P245">
        <v>0.2273</v>
      </c>
      <c r="Q245">
        <v>0.51</v>
      </c>
      <c r="R245">
        <v>0.1045</v>
      </c>
      <c r="S245">
        <v>2</v>
      </c>
      <c r="T245">
        <v>55</v>
      </c>
      <c r="U245">
        <v>57</v>
      </c>
    </row>
    <row r="246" spans="1:21" x14ac:dyDescent="0.3">
      <c r="A246">
        <v>245</v>
      </c>
      <c r="B246" t="s">
        <v>25</v>
      </c>
      <c r="C246" t="str">
        <f t="shared" si="13"/>
        <v>11-Jan-2011</v>
      </c>
      <c r="D246">
        <v>1</v>
      </c>
      <c r="E246">
        <v>0</v>
      </c>
      <c r="F246">
        <v>1</v>
      </c>
      <c r="G246" t="str">
        <f t="shared" si="12"/>
        <v>Jan</v>
      </c>
      <c r="H246">
        <v>13</v>
      </c>
      <c r="I246">
        <f t="shared" si="14"/>
        <v>1</v>
      </c>
      <c r="J246" t="s">
        <v>126</v>
      </c>
      <c r="K246">
        <v>2</v>
      </c>
      <c r="L246" t="str">
        <f t="shared" si="15"/>
        <v>Weekday</v>
      </c>
      <c r="M246">
        <v>2</v>
      </c>
      <c r="N246" t="str" cm="1">
        <f t="array" ref="N246">_xlfn.IFS(M246=1,"Sunny Day",M246=2,"Cloudy Day",M246=3,"Rainy Day",M246=4,"Heavy Rain")</f>
        <v>Cloudy Day</v>
      </c>
      <c r="O246">
        <v>0.2</v>
      </c>
      <c r="P246">
        <v>0.2273</v>
      </c>
      <c r="Q246">
        <v>0.59</v>
      </c>
      <c r="R246">
        <v>8.9599999999999999E-2</v>
      </c>
      <c r="S246">
        <v>6</v>
      </c>
      <c r="T246">
        <v>46</v>
      </c>
      <c r="U246">
        <v>52</v>
      </c>
    </row>
    <row r="247" spans="1:21" x14ac:dyDescent="0.3">
      <c r="A247">
        <v>246</v>
      </c>
      <c r="B247" t="s">
        <v>25</v>
      </c>
      <c r="C247" t="str">
        <f t="shared" si="13"/>
        <v>11-Jan-2011</v>
      </c>
      <c r="D247">
        <v>1</v>
      </c>
      <c r="E247">
        <v>0</v>
      </c>
      <c r="F247">
        <v>1</v>
      </c>
      <c r="G247" t="str">
        <f t="shared" si="12"/>
        <v>Jan</v>
      </c>
      <c r="H247">
        <v>14</v>
      </c>
      <c r="I247">
        <f t="shared" si="14"/>
        <v>1</v>
      </c>
      <c r="J247" t="s">
        <v>126</v>
      </c>
      <c r="K247">
        <v>2</v>
      </c>
      <c r="L247" t="str">
        <f t="shared" si="15"/>
        <v>Weekday</v>
      </c>
      <c r="M247">
        <v>2</v>
      </c>
      <c r="N247" t="str" cm="1">
        <f t="array" ref="N247">_xlfn.IFS(M247=1,"Sunny Day",M247=2,"Cloudy Day",M247=3,"Rainy Day",M247=4,"Heavy Rain")</f>
        <v>Cloudy Day</v>
      </c>
      <c r="O247">
        <v>0.2</v>
      </c>
      <c r="P247">
        <v>0.2273</v>
      </c>
      <c r="Q247">
        <v>0.59</v>
      </c>
      <c r="R247">
        <v>8.9599999999999999E-2</v>
      </c>
      <c r="S247">
        <v>3</v>
      </c>
      <c r="T247">
        <v>60</v>
      </c>
      <c r="U247">
        <v>63</v>
      </c>
    </row>
    <row r="248" spans="1:21" x14ac:dyDescent="0.3">
      <c r="A248">
        <v>247</v>
      </c>
      <c r="B248" t="s">
        <v>25</v>
      </c>
      <c r="C248" t="str">
        <f t="shared" si="13"/>
        <v>11-Jan-2011</v>
      </c>
      <c r="D248">
        <v>1</v>
      </c>
      <c r="E248">
        <v>0</v>
      </c>
      <c r="F248">
        <v>1</v>
      </c>
      <c r="G248" t="str">
        <f t="shared" si="12"/>
        <v>Jan</v>
      </c>
      <c r="H248">
        <v>15</v>
      </c>
      <c r="I248">
        <f t="shared" si="14"/>
        <v>1</v>
      </c>
      <c r="J248" t="s">
        <v>126</v>
      </c>
      <c r="K248">
        <v>2</v>
      </c>
      <c r="L248" t="str">
        <f t="shared" si="15"/>
        <v>Weekday</v>
      </c>
      <c r="M248">
        <v>2</v>
      </c>
      <c r="N248" t="str" cm="1">
        <f t="array" ref="N248">_xlfn.IFS(M248=1,"Sunny Day",M248=2,"Cloudy Day",M248=3,"Rainy Day",M248=4,"Heavy Rain")</f>
        <v>Cloudy Day</v>
      </c>
      <c r="O248">
        <v>0.16</v>
      </c>
      <c r="P248">
        <v>0.19700000000000001</v>
      </c>
      <c r="Q248">
        <v>0.8</v>
      </c>
      <c r="R248">
        <v>8.9599999999999999E-2</v>
      </c>
      <c r="S248">
        <v>2</v>
      </c>
      <c r="T248">
        <v>45</v>
      </c>
      <c r="U248">
        <v>47</v>
      </c>
    </row>
    <row r="249" spans="1:21" x14ac:dyDescent="0.3">
      <c r="A249">
        <v>248</v>
      </c>
      <c r="B249" t="s">
        <v>25</v>
      </c>
      <c r="C249" t="str">
        <f t="shared" si="13"/>
        <v>11-Jan-2011</v>
      </c>
      <c r="D249">
        <v>1</v>
      </c>
      <c r="E249">
        <v>0</v>
      </c>
      <c r="F249">
        <v>1</v>
      </c>
      <c r="G249" t="str">
        <f t="shared" si="12"/>
        <v>Jan</v>
      </c>
      <c r="H249">
        <v>16</v>
      </c>
      <c r="I249">
        <f t="shared" si="14"/>
        <v>1</v>
      </c>
      <c r="J249" t="s">
        <v>126</v>
      </c>
      <c r="K249">
        <v>2</v>
      </c>
      <c r="L249" t="str">
        <f t="shared" si="15"/>
        <v>Weekday</v>
      </c>
      <c r="M249">
        <v>2</v>
      </c>
      <c r="N249" t="str" cm="1">
        <f t="array" ref="N249">_xlfn.IFS(M249=1,"Sunny Day",M249=2,"Cloudy Day",M249=3,"Rainy Day",M249=4,"Heavy Rain")</f>
        <v>Cloudy Day</v>
      </c>
      <c r="O249">
        <v>0.16</v>
      </c>
      <c r="P249">
        <v>0.1515</v>
      </c>
      <c r="Q249">
        <v>0.86</v>
      </c>
      <c r="R249">
        <v>0.22389999999999999</v>
      </c>
      <c r="S249">
        <v>4</v>
      </c>
      <c r="T249">
        <v>72</v>
      </c>
      <c r="U249">
        <v>76</v>
      </c>
    </row>
    <row r="250" spans="1:21" x14ac:dyDescent="0.3">
      <c r="A250">
        <v>249</v>
      </c>
      <c r="B250" t="s">
        <v>25</v>
      </c>
      <c r="C250" t="str">
        <f t="shared" si="13"/>
        <v>11-Jan-2011</v>
      </c>
      <c r="D250">
        <v>1</v>
      </c>
      <c r="E250">
        <v>0</v>
      </c>
      <c r="F250">
        <v>1</v>
      </c>
      <c r="G250" t="str">
        <f t="shared" si="12"/>
        <v>Jan</v>
      </c>
      <c r="H250">
        <v>17</v>
      </c>
      <c r="I250">
        <f t="shared" si="14"/>
        <v>1</v>
      </c>
      <c r="J250" t="s">
        <v>126</v>
      </c>
      <c r="K250">
        <v>2</v>
      </c>
      <c r="L250" t="str">
        <f t="shared" si="15"/>
        <v>Weekday</v>
      </c>
      <c r="M250">
        <v>2</v>
      </c>
      <c r="N250" t="str" cm="1">
        <f t="array" ref="N250">_xlfn.IFS(M250=1,"Sunny Day",M250=2,"Cloudy Day",M250=3,"Rainy Day",M250=4,"Heavy Rain")</f>
        <v>Cloudy Day</v>
      </c>
      <c r="O250">
        <v>0.16</v>
      </c>
      <c r="P250">
        <v>0.1515</v>
      </c>
      <c r="Q250">
        <v>0.86</v>
      </c>
      <c r="R250">
        <v>0.22389999999999999</v>
      </c>
      <c r="S250">
        <v>6</v>
      </c>
      <c r="T250">
        <v>130</v>
      </c>
      <c r="U250">
        <v>136</v>
      </c>
    </row>
    <row r="251" spans="1:21" x14ac:dyDescent="0.3">
      <c r="A251">
        <v>250</v>
      </c>
      <c r="B251" t="s">
        <v>25</v>
      </c>
      <c r="C251" t="str">
        <f t="shared" si="13"/>
        <v>11-Jan-2011</v>
      </c>
      <c r="D251">
        <v>1</v>
      </c>
      <c r="E251">
        <v>0</v>
      </c>
      <c r="F251">
        <v>1</v>
      </c>
      <c r="G251" t="str">
        <f t="shared" si="12"/>
        <v>Jan</v>
      </c>
      <c r="H251">
        <v>18</v>
      </c>
      <c r="I251">
        <f t="shared" si="14"/>
        <v>1</v>
      </c>
      <c r="J251" t="s">
        <v>126</v>
      </c>
      <c r="K251">
        <v>2</v>
      </c>
      <c r="L251" t="str">
        <f t="shared" si="15"/>
        <v>Weekday</v>
      </c>
      <c r="M251">
        <v>3</v>
      </c>
      <c r="N251" t="str" cm="1">
        <f t="array" ref="N251">_xlfn.IFS(M251=1,"Sunny Day",M251=2,"Cloudy Day",M251=3,"Rainy Day",M251=4,"Heavy Rain")</f>
        <v>Rainy Day</v>
      </c>
      <c r="O251">
        <v>0.16</v>
      </c>
      <c r="P251">
        <v>0.18179999999999999</v>
      </c>
      <c r="Q251">
        <v>0.93</v>
      </c>
      <c r="R251">
        <v>0.1045</v>
      </c>
      <c r="S251">
        <v>1</v>
      </c>
      <c r="T251">
        <v>94</v>
      </c>
      <c r="U251">
        <v>95</v>
      </c>
    </row>
    <row r="252" spans="1:21" x14ac:dyDescent="0.3">
      <c r="A252">
        <v>251</v>
      </c>
      <c r="B252" t="s">
        <v>25</v>
      </c>
      <c r="C252" t="str">
        <f t="shared" si="13"/>
        <v>11-Jan-2011</v>
      </c>
      <c r="D252">
        <v>1</v>
      </c>
      <c r="E252">
        <v>0</v>
      </c>
      <c r="F252">
        <v>1</v>
      </c>
      <c r="G252" t="str">
        <f t="shared" si="12"/>
        <v>Jan</v>
      </c>
      <c r="H252">
        <v>19</v>
      </c>
      <c r="I252">
        <f t="shared" si="14"/>
        <v>1</v>
      </c>
      <c r="J252" t="s">
        <v>126</v>
      </c>
      <c r="K252">
        <v>2</v>
      </c>
      <c r="L252" t="str">
        <f t="shared" si="15"/>
        <v>Weekday</v>
      </c>
      <c r="M252">
        <v>3</v>
      </c>
      <c r="N252" t="str" cm="1">
        <f t="array" ref="N252">_xlfn.IFS(M252=1,"Sunny Day",M252=2,"Cloudy Day",M252=3,"Rainy Day",M252=4,"Heavy Rain")</f>
        <v>Rainy Day</v>
      </c>
      <c r="O252">
        <v>0.16</v>
      </c>
      <c r="P252">
        <v>0.2273</v>
      </c>
      <c r="Q252">
        <v>0.93</v>
      </c>
      <c r="R252">
        <v>0</v>
      </c>
      <c r="S252">
        <v>0</v>
      </c>
      <c r="T252">
        <v>51</v>
      </c>
      <c r="U252">
        <v>51</v>
      </c>
    </row>
    <row r="253" spans="1:21" x14ac:dyDescent="0.3">
      <c r="A253">
        <v>252</v>
      </c>
      <c r="B253" t="s">
        <v>25</v>
      </c>
      <c r="C253" t="str">
        <f t="shared" si="13"/>
        <v>11-Jan-2011</v>
      </c>
      <c r="D253">
        <v>1</v>
      </c>
      <c r="E253">
        <v>0</v>
      </c>
      <c r="F253">
        <v>1</v>
      </c>
      <c r="G253" t="str">
        <f t="shared" si="12"/>
        <v>Jan</v>
      </c>
      <c r="H253">
        <v>20</v>
      </c>
      <c r="I253">
        <f t="shared" si="14"/>
        <v>1</v>
      </c>
      <c r="J253" t="s">
        <v>126</v>
      </c>
      <c r="K253">
        <v>2</v>
      </c>
      <c r="L253" t="str">
        <f t="shared" si="15"/>
        <v>Weekday</v>
      </c>
      <c r="M253">
        <v>3</v>
      </c>
      <c r="N253" t="str" cm="1">
        <f t="array" ref="N253">_xlfn.IFS(M253=1,"Sunny Day",M253=2,"Cloudy Day",M253=3,"Rainy Day",M253=4,"Heavy Rain")</f>
        <v>Rainy Day</v>
      </c>
      <c r="O253">
        <v>0.16</v>
      </c>
      <c r="P253">
        <v>0.1515</v>
      </c>
      <c r="Q253">
        <v>0.93</v>
      </c>
      <c r="R253">
        <v>0.19400000000000001</v>
      </c>
      <c r="S253">
        <v>0</v>
      </c>
      <c r="T253">
        <v>32</v>
      </c>
      <c r="U253">
        <v>32</v>
      </c>
    </row>
    <row r="254" spans="1:21" x14ac:dyDescent="0.3">
      <c r="A254">
        <v>253</v>
      </c>
      <c r="B254" t="s">
        <v>25</v>
      </c>
      <c r="C254" t="str">
        <f t="shared" si="13"/>
        <v>11-Jan-2011</v>
      </c>
      <c r="D254">
        <v>1</v>
      </c>
      <c r="E254">
        <v>0</v>
      </c>
      <c r="F254">
        <v>1</v>
      </c>
      <c r="G254" t="str">
        <f t="shared" si="12"/>
        <v>Jan</v>
      </c>
      <c r="H254">
        <v>21</v>
      </c>
      <c r="I254">
        <f t="shared" si="14"/>
        <v>1</v>
      </c>
      <c r="J254" t="s">
        <v>126</v>
      </c>
      <c r="K254">
        <v>2</v>
      </c>
      <c r="L254" t="str">
        <f t="shared" si="15"/>
        <v>Weekday</v>
      </c>
      <c r="M254">
        <v>3</v>
      </c>
      <c r="N254" t="str" cm="1">
        <f t="array" ref="N254">_xlfn.IFS(M254=1,"Sunny Day",M254=2,"Cloudy Day",M254=3,"Rainy Day",M254=4,"Heavy Rain")</f>
        <v>Rainy Day</v>
      </c>
      <c r="O254">
        <v>0.16</v>
      </c>
      <c r="P254">
        <v>0.19700000000000001</v>
      </c>
      <c r="Q254">
        <v>0.86</v>
      </c>
      <c r="R254">
        <v>8.9599999999999999E-2</v>
      </c>
      <c r="S254">
        <v>0</v>
      </c>
      <c r="T254">
        <v>20</v>
      </c>
      <c r="U254">
        <v>20</v>
      </c>
    </row>
    <row r="255" spans="1:21" x14ac:dyDescent="0.3">
      <c r="A255">
        <v>254</v>
      </c>
      <c r="B255" t="s">
        <v>25</v>
      </c>
      <c r="C255" t="str">
        <f t="shared" si="13"/>
        <v>11-Jan-2011</v>
      </c>
      <c r="D255">
        <v>1</v>
      </c>
      <c r="E255">
        <v>0</v>
      </c>
      <c r="F255">
        <v>1</v>
      </c>
      <c r="G255" t="str">
        <f t="shared" si="12"/>
        <v>Jan</v>
      </c>
      <c r="H255">
        <v>22</v>
      </c>
      <c r="I255">
        <f t="shared" si="14"/>
        <v>1</v>
      </c>
      <c r="J255" t="s">
        <v>126</v>
      </c>
      <c r="K255">
        <v>2</v>
      </c>
      <c r="L255" t="str">
        <f t="shared" si="15"/>
        <v>Weekday</v>
      </c>
      <c r="M255">
        <v>3</v>
      </c>
      <c r="N255" t="str" cm="1">
        <f t="array" ref="N255">_xlfn.IFS(M255=1,"Sunny Day",M255=2,"Cloudy Day",M255=3,"Rainy Day",M255=4,"Heavy Rain")</f>
        <v>Rainy Day</v>
      </c>
      <c r="O255">
        <v>0.16</v>
      </c>
      <c r="P255">
        <v>0.18179999999999999</v>
      </c>
      <c r="Q255">
        <v>0.93</v>
      </c>
      <c r="R255">
        <v>0.1045</v>
      </c>
      <c r="S255">
        <v>1</v>
      </c>
      <c r="T255">
        <v>28</v>
      </c>
      <c r="U255">
        <v>29</v>
      </c>
    </row>
    <row r="256" spans="1:21" x14ac:dyDescent="0.3">
      <c r="A256">
        <v>255</v>
      </c>
      <c r="B256" t="s">
        <v>25</v>
      </c>
      <c r="C256" t="str">
        <f t="shared" si="13"/>
        <v>11-Jan-2011</v>
      </c>
      <c r="D256">
        <v>1</v>
      </c>
      <c r="E256">
        <v>0</v>
      </c>
      <c r="F256">
        <v>1</v>
      </c>
      <c r="G256" t="str">
        <f t="shared" si="12"/>
        <v>Jan</v>
      </c>
      <c r="H256">
        <v>23</v>
      </c>
      <c r="I256">
        <f t="shared" si="14"/>
        <v>1</v>
      </c>
      <c r="J256" t="s">
        <v>126</v>
      </c>
      <c r="K256">
        <v>2</v>
      </c>
      <c r="L256" t="str">
        <f t="shared" si="15"/>
        <v>Weekday</v>
      </c>
      <c r="M256">
        <v>3</v>
      </c>
      <c r="N256" t="str" cm="1">
        <f t="array" ref="N256">_xlfn.IFS(M256=1,"Sunny Day",M256=2,"Cloudy Day",M256=3,"Rainy Day",M256=4,"Heavy Rain")</f>
        <v>Rainy Day</v>
      </c>
      <c r="O256">
        <v>0.16</v>
      </c>
      <c r="P256">
        <v>0.19700000000000001</v>
      </c>
      <c r="Q256">
        <v>0.93</v>
      </c>
      <c r="R256">
        <v>8.9599999999999999E-2</v>
      </c>
      <c r="S256">
        <v>1</v>
      </c>
      <c r="T256">
        <v>18</v>
      </c>
      <c r="U256">
        <v>19</v>
      </c>
    </row>
    <row r="257" spans="1:21" x14ac:dyDescent="0.3">
      <c r="A257">
        <v>256</v>
      </c>
      <c r="B257" t="s">
        <v>27</v>
      </c>
      <c r="C257" t="str">
        <f t="shared" si="13"/>
        <v>12-Jan-2011</v>
      </c>
      <c r="D257">
        <v>1</v>
      </c>
      <c r="E257">
        <v>0</v>
      </c>
      <c r="F257">
        <v>1</v>
      </c>
      <c r="G257" t="str">
        <f t="shared" si="12"/>
        <v>Jan</v>
      </c>
      <c r="H257">
        <v>0</v>
      </c>
      <c r="I257">
        <f t="shared" si="14"/>
        <v>0</v>
      </c>
      <c r="J257" t="s">
        <v>126</v>
      </c>
      <c r="K257">
        <v>3</v>
      </c>
      <c r="L257" t="str">
        <f t="shared" si="15"/>
        <v>Weekday</v>
      </c>
      <c r="M257">
        <v>2</v>
      </c>
      <c r="N257" t="str" cm="1">
        <f t="array" ref="N257">_xlfn.IFS(M257=1,"Sunny Day",M257=2,"Cloudy Day",M257=3,"Rainy Day",M257=4,"Heavy Rain")</f>
        <v>Cloudy Day</v>
      </c>
      <c r="O257">
        <v>0.16</v>
      </c>
      <c r="P257">
        <v>0.19700000000000001</v>
      </c>
      <c r="Q257">
        <v>0.86</v>
      </c>
      <c r="R257">
        <v>8.9599999999999999E-2</v>
      </c>
      <c r="S257">
        <v>0</v>
      </c>
      <c r="T257">
        <v>7</v>
      </c>
      <c r="U257">
        <v>7</v>
      </c>
    </row>
    <row r="258" spans="1:21" x14ac:dyDescent="0.3">
      <c r="A258">
        <v>257</v>
      </c>
      <c r="B258" t="s">
        <v>27</v>
      </c>
      <c r="C258" t="str">
        <f t="shared" si="13"/>
        <v>12-Jan-2011</v>
      </c>
      <c r="D258">
        <v>1</v>
      </c>
      <c r="E258">
        <v>0</v>
      </c>
      <c r="F258">
        <v>1</v>
      </c>
      <c r="G258" t="str">
        <f t="shared" ref="G258:G321" si="16">TEXT(C258,"mmm")</f>
        <v>Jan</v>
      </c>
      <c r="H258">
        <v>1</v>
      </c>
      <c r="I258">
        <f t="shared" si="14"/>
        <v>0</v>
      </c>
      <c r="J258" t="s">
        <v>126</v>
      </c>
      <c r="K258">
        <v>3</v>
      </c>
      <c r="L258" t="str">
        <f t="shared" si="15"/>
        <v>Weekday</v>
      </c>
      <c r="M258">
        <v>2</v>
      </c>
      <c r="N258" t="str" cm="1">
        <f t="array" ref="N258">_xlfn.IFS(M258=1,"Sunny Day",M258=2,"Cloudy Day",M258=3,"Rainy Day",M258=4,"Heavy Rain")</f>
        <v>Cloudy Day</v>
      </c>
      <c r="O258">
        <v>0.16</v>
      </c>
      <c r="P258">
        <v>0.18179999999999999</v>
      </c>
      <c r="Q258">
        <v>0.86</v>
      </c>
      <c r="R258">
        <v>0.1045</v>
      </c>
      <c r="S258">
        <v>0</v>
      </c>
      <c r="T258">
        <v>6</v>
      </c>
      <c r="U258">
        <v>6</v>
      </c>
    </row>
    <row r="259" spans="1:21" x14ac:dyDescent="0.3">
      <c r="A259">
        <v>258</v>
      </c>
      <c r="B259" t="s">
        <v>27</v>
      </c>
      <c r="C259" t="str">
        <f t="shared" ref="C259:C322" si="17">TEXT(DATEVALUE(B259),"dd-mmm-yyyy")</f>
        <v>12-Jan-2011</v>
      </c>
      <c r="D259">
        <v>1</v>
      </c>
      <c r="E259">
        <v>0</v>
      </c>
      <c r="F259">
        <v>1</v>
      </c>
      <c r="G259" t="str">
        <f t="shared" si="16"/>
        <v>Jan</v>
      </c>
      <c r="H259">
        <v>2</v>
      </c>
      <c r="I259">
        <f t="shared" ref="I259:I322" si="18">IF(AND(H259&gt;=0,H259&lt;=10),0,1)</f>
        <v>0</v>
      </c>
      <c r="J259" t="s">
        <v>126</v>
      </c>
      <c r="K259">
        <v>3</v>
      </c>
      <c r="L259" t="str">
        <f t="shared" ref="L259:L322" si="19">IF(AND(K259&gt;=1,K259&lt;=5),"Weekday","Weekend")</f>
        <v>Weekday</v>
      </c>
      <c r="M259">
        <v>1</v>
      </c>
      <c r="N259" t="str" cm="1">
        <f t="array" ref="N259">_xlfn.IFS(M259=1,"Sunny Day",M259=2,"Cloudy Day",M259=3,"Rainy Day",M259=4,"Heavy Rain")</f>
        <v>Sunny Day</v>
      </c>
      <c r="O259">
        <v>0.14000000000000001</v>
      </c>
      <c r="P259">
        <v>0.1515</v>
      </c>
      <c r="Q259">
        <v>0.86</v>
      </c>
      <c r="R259">
        <v>0.1343</v>
      </c>
      <c r="S259">
        <v>0</v>
      </c>
      <c r="T259">
        <v>1</v>
      </c>
      <c r="U259">
        <v>1</v>
      </c>
    </row>
    <row r="260" spans="1:21" x14ac:dyDescent="0.3">
      <c r="A260">
        <v>259</v>
      </c>
      <c r="B260" t="s">
        <v>27</v>
      </c>
      <c r="C260" t="str">
        <f t="shared" si="17"/>
        <v>12-Jan-2011</v>
      </c>
      <c r="D260">
        <v>1</v>
      </c>
      <c r="E260">
        <v>0</v>
      </c>
      <c r="F260">
        <v>1</v>
      </c>
      <c r="G260" t="str">
        <f t="shared" si="16"/>
        <v>Jan</v>
      </c>
      <c r="H260">
        <v>5</v>
      </c>
      <c r="I260">
        <f t="shared" si="18"/>
        <v>0</v>
      </c>
      <c r="J260" t="s">
        <v>126</v>
      </c>
      <c r="K260">
        <v>3</v>
      </c>
      <c r="L260" t="str">
        <f t="shared" si="19"/>
        <v>Weekday</v>
      </c>
      <c r="M260">
        <v>1</v>
      </c>
      <c r="N260" t="str" cm="1">
        <f t="array" ref="N260">_xlfn.IFS(M260=1,"Sunny Day",M260=2,"Cloudy Day",M260=3,"Rainy Day",M260=4,"Heavy Rain")</f>
        <v>Sunny Day</v>
      </c>
      <c r="O260">
        <v>0.14000000000000001</v>
      </c>
      <c r="P260">
        <v>0.1515</v>
      </c>
      <c r="Q260">
        <v>0.86</v>
      </c>
      <c r="R260">
        <v>0.16420000000000001</v>
      </c>
      <c r="S260">
        <v>0</v>
      </c>
      <c r="T260">
        <v>5</v>
      </c>
      <c r="U260">
        <v>5</v>
      </c>
    </row>
    <row r="261" spans="1:21" x14ac:dyDescent="0.3">
      <c r="A261">
        <v>260</v>
      </c>
      <c r="B261" t="s">
        <v>27</v>
      </c>
      <c r="C261" t="str">
        <f t="shared" si="17"/>
        <v>12-Jan-2011</v>
      </c>
      <c r="D261">
        <v>1</v>
      </c>
      <c r="E261">
        <v>0</v>
      </c>
      <c r="F261">
        <v>1</v>
      </c>
      <c r="G261" t="str">
        <f t="shared" si="16"/>
        <v>Jan</v>
      </c>
      <c r="H261">
        <v>6</v>
      </c>
      <c r="I261">
        <f t="shared" si="18"/>
        <v>0</v>
      </c>
      <c r="J261" t="s">
        <v>126</v>
      </c>
      <c r="K261">
        <v>3</v>
      </c>
      <c r="L261" t="str">
        <f t="shared" si="19"/>
        <v>Weekday</v>
      </c>
      <c r="M261">
        <v>1</v>
      </c>
      <c r="N261" t="str" cm="1">
        <f t="array" ref="N261">_xlfn.IFS(M261=1,"Sunny Day",M261=2,"Cloudy Day",M261=3,"Rainy Day",M261=4,"Heavy Rain")</f>
        <v>Sunny Day</v>
      </c>
      <c r="O261">
        <v>0.12</v>
      </c>
      <c r="P261">
        <v>0.1515</v>
      </c>
      <c r="Q261">
        <v>0.93</v>
      </c>
      <c r="R261">
        <v>0.1343</v>
      </c>
      <c r="S261">
        <v>0</v>
      </c>
      <c r="T261">
        <v>16</v>
      </c>
      <c r="U261">
        <v>16</v>
      </c>
    </row>
    <row r="262" spans="1:21" x14ac:dyDescent="0.3">
      <c r="A262">
        <v>261</v>
      </c>
      <c r="B262" t="s">
        <v>27</v>
      </c>
      <c r="C262" t="str">
        <f t="shared" si="17"/>
        <v>12-Jan-2011</v>
      </c>
      <c r="D262">
        <v>1</v>
      </c>
      <c r="E262">
        <v>0</v>
      </c>
      <c r="F262">
        <v>1</v>
      </c>
      <c r="G262" t="str">
        <f t="shared" si="16"/>
        <v>Jan</v>
      </c>
      <c r="H262">
        <v>7</v>
      </c>
      <c r="I262">
        <f t="shared" si="18"/>
        <v>0</v>
      </c>
      <c r="J262" t="s">
        <v>126</v>
      </c>
      <c r="K262">
        <v>3</v>
      </c>
      <c r="L262" t="str">
        <f t="shared" si="19"/>
        <v>Weekday</v>
      </c>
      <c r="M262">
        <v>1</v>
      </c>
      <c r="N262" t="str" cm="1">
        <f t="array" ref="N262">_xlfn.IFS(M262=1,"Sunny Day",M262=2,"Cloudy Day",M262=3,"Rainy Day",M262=4,"Heavy Rain")</f>
        <v>Sunny Day</v>
      </c>
      <c r="O262">
        <v>0.14000000000000001</v>
      </c>
      <c r="P262">
        <v>0.1515</v>
      </c>
      <c r="Q262">
        <v>0.69</v>
      </c>
      <c r="R262">
        <v>0.1343</v>
      </c>
      <c r="S262">
        <v>0</v>
      </c>
      <c r="T262">
        <v>54</v>
      </c>
      <c r="U262">
        <v>54</v>
      </c>
    </row>
    <row r="263" spans="1:21" x14ac:dyDescent="0.3">
      <c r="A263">
        <v>262</v>
      </c>
      <c r="B263" t="s">
        <v>27</v>
      </c>
      <c r="C263" t="str">
        <f t="shared" si="17"/>
        <v>12-Jan-2011</v>
      </c>
      <c r="D263">
        <v>1</v>
      </c>
      <c r="E263">
        <v>0</v>
      </c>
      <c r="F263">
        <v>1</v>
      </c>
      <c r="G263" t="str">
        <f t="shared" si="16"/>
        <v>Jan</v>
      </c>
      <c r="H263">
        <v>8</v>
      </c>
      <c r="I263">
        <f t="shared" si="18"/>
        <v>0</v>
      </c>
      <c r="J263" t="s">
        <v>126</v>
      </c>
      <c r="K263">
        <v>3</v>
      </c>
      <c r="L263" t="str">
        <f t="shared" si="19"/>
        <v>Weekday</v>
      </c>
      <c r="M263">
        <v>1</v>
      </c>
      <c r="N263" t="str" cm="1">
        <f t="array" ref="N263">_xlfn.IFS(M263=1,"Sunny Day",M263=2,"Cloudy Day",M263=3,"Rainy Day",M263=4,"Heavy Rain")</f>
        <v>Sunny Day</v>
      </c>
      <c r="O263">
        <v>0.16</v>
      </c>
      <c r="P263">
        <v>0.16669999999999999</v>
      </c>
      <c r="Q263">
        <v>0.59</v>
      </c>
      <c r="R263">
        <v>0.16420000000000001</v>
      </c>
      <c r="S263">
        <v>3</v>
      </c>
      <c r="T263">
        <v>125</v>
      </c>
      <c r="U263">
        <v>128</v>
      </c>
    </row>
    <row r="264" spans="1:21" x14ac:dyDescent="0.3">
      <c r="A264">
        <v>263</v>
      </c>
      <c r="B264" t="s">
        <v>27</v>
      </c>
      <c r="C264" t="str">
        <f t="shared" si="17"/>
        <v>12-Jan-2011</v>
      </c>
      <c r="D264">
        <v>1</v>
      </c>
      <c r="E264">
        <v>0</v>
      </c>
      <c r="F264">
        <v>1</v>
      </c>
      <c r="G264" t="str">
        <f t="shared" si="16"/>
        <v>Jan</v>
      </c>
      <c r="H264">
        <v>9</v>
      </c>
      <c r="I264">
        <f t="shared" si="18"/>
        <v>0</v>
      </c>
      <c r="J264" t="s">
        <v>126</v>
      </c>
      <c r="K264">
        <v>3</v>
      </c>
      <c r="L264" t="str">
        <f t="shared" si="19"/>
        <v>Weekday</v>
      </c>
      <c r="M264">
        <v>1</v>
      </c>
      <c r="N264" t="str" cm="1">
        <f t="array" ref="N264">_xlfn.IFS(M264=1,"Sunny Day",M264=2,"Cloudy Day",M264=3,"Rainy Day",M264=4,"Heavy Rain")</f>
        <v>Sunny Day</v>
      </c>
      <c r="O264">
        <v>0.16</v>
      </c>
      <c r="P264">
        <v>0.13639999999999999</v>
      </c>
      <c r="Q264">
        <v>0.59</v>
      </c>
      <c r="R264">
        <v>0.32840000000000003</v>
      </c>
      <c r="S264">
        <v>3</v>
      </c>
      <c r="T264">
        <v>78</v>
      </c>
      <c r="U264">
        <v>81</v>
      </c>
    </row>
    <row r="265" spans="1:21" x14ac:dyDescent="0.3">
      <c r="A265">
        <v>264</v>
      </c>
      <c r="B265" t="s">
        <v>27</v>
      </c>
      <c r="C265" t="str">
        <f t="shared" si="17"/>
        <v>12-Jan-2011</v>
      </c>
      <c r="D265">
        <v>1</v>
      </c>
      <c r="E265">
        <v>0</v>
      </c>
      <c r="F265">
        <v>1</v>
      </c>
      <c r="G265" t="str">
        <f t="shared" si="16"/>
        <v>Jan</v>
      </c>
      <c r="H265">
        <v>10</v>
      </c>
      <c r="I265">
        <f t="shared" si="18"/>
        <v>0</v>
      </c>
      <c r="J265" t="s">
        <v>126</v>
      </c>
      <c r="K265">
        <v>3</v>
      </c>
      <c r="L265" t="str">
        <f t="shared" si="19"/>
        <v>Weekday</v>
      </c>
      <c r="M265">
        <v>1</v>
      </c>
      <c r="N265" t="str" cm="1">
        <f t="array" ref="N265">_xlfn.IFS(M265=1,"Sunny Day",M265=2,"Cloudy Day",M265=3,"Rainy Day",M265=4,"Heavy Rain")</f>
        <v>Sunny Day</v>
      </c>
      <c r="O265">
        <v>0.18</v>
      </c>
      <c r="P265">
        <v>0.18179999999999999</v>
      </c>
      <c r="Q265">
        <v>0.55000000000000004</v>
      </c>
      <c r="R265">
        <v>0.22389999999999999</v>
      </c>
      <c r="S265">
        <v>0</v>
      </c>
      <c r="T265">
        <v>39</v>
      </c>
      <c r="U265">
        <v>39</v>
      </c>
    </row>
    <row r="266" spans="1:21" x14ac:dyDescent="0.3">
      <c r="A266">
        <v>265</v>
      </c>
      <c r="B266" t="s">
        <v>27</v>
      </c>
      <c r="C266" t="str">
        <f t="shared" si="17"/>
        <v>12-Jan-2011</v>
      </c>
      <c r="D266">
        <v>1</v>
      </c>
      <c r="E266">
        <v>0</v>
      </c>
      <c r="F266">
        <v>1</v>
      </c>
      <c r="G266" t="str">
        <f t="shared" si="16"/>
        <v>Jan</v>
      </c>
      <c r="H266">
        <v>11</v>
      </c>
      <c r="I266">
        <f t="shared" si="18"/>
        <v>1</v>
      </c>
      <c r="J266" t="s">
        <v>126</v>
      </c>
      <c r="K266">
        <v>3</v>
      </c>
      <c r="L266" t="str">
        <f t="shared" si="19"/>
        <v>Weekday</v>
      </c>
      <c r="M266">
        <v>1</v>
      </c>
      <c r="N266" t="str" cm="1">
        <f t="array" ref="N266">_xlfn.IFS(M266=1,"Sunny Day",M266=2,"Cloudy Day",M266=3,"Rainy Day",M266=4,"Heavy Rain")</f>
        <v>Sunny Day</v>
      </c>
      <c r="O266">
        <v>0.2</v>
      </c>
      <c r="P266">
        <v>0.18179999999999999</v>
      </c>
      <c r="Q266">
        <v>0.51</v>
      </c>
      <c r="R266">
        <v>0.3881</v>
      </c>
      <c r="S266">
        <v>3</v>
      </c>
      <c r="T266">
        <v>32</v>
      </c>
      <c r="U266">
        <v>35</v>
      </c>
    </row>
    <row r="267" spans="1:21" x14ac:dyDescent="0.3">
      <c r="A267">
        <v>266</v>
      </c>
      <c r="B267" t="s">
        <v>27</v>
      </c>
      <c r="C267" t="str">
        <f t="shared" si="17"/>
        <v>12-Jan-2011</v>
      </c>
      <c r="D267">
        <v>1</v>
      </c>
      <c r="E267">
        <v>0</v>
      </c>
      <c r="F267">
        <v>1</v>
      </c>
      <c r="G267" t="str">
        <f t="shared" si="16"/>
        <v>Jan</v>
      </c>
      <c r="H267">
        <v>12</v>
      </c>
      <c r="I267">
        <f t="shared" si="18"/>
        <v>1</v>
      </c>
      <c r="J267" t="s">
        <v>126</v>
      </c>
      <c r="K267">
        <v>3</v>
      </c>
      <c r="L267" t="str">
        <f t="shared" si="19"/>
        <v>Weekday</v>
      </c>
      <c r="M267">
        <v>1</v>
      </c>
      <c r="N267" t="str" cm="1">
        <f t="array" ref="N267">_xlfn.IFS(M267=1,"Sunny Day",M267=2,"Cloudy Day",M267=3,"Rainy Day",M267=4,"Heavy Rain")</f>
        <v>Sunny Day</v>
      </c>
      <c r="O267">
        <v>0.2</v>
      </c>
      <c r="P267">
        <v>0.1515</v>
      </c>
      <c r="Q267">
        <v>0.47</v>
      </c>
      <c r="R267">
        <v>0.58209999999999995</v>
      </c>
      <c r="S267">
        <v>3</v>
      </c>
      <c r="T267">
        <v>52</v>
      </c>
      <c r="U267">
        <v>55</v>
      </c>
    </row>
    <row r="268" spans="1:21" x14ac:dyDescent="0.3">
      <c r="A268">
        <v>267</v>
      </c>
      <c r="B268" t="s">
        <v>27</v>
      </c>
      <c r="C268" t="str">
        <f t="shared" si="17"/>
        <v>12-Jan-2011</v>
      </c>
      <c r="D268">
        <v>1</v>
      </c>
      <c r="E268">
        <v>0</v>
      </c>
      <c r="F268">
        <v>1</v>
      </c>
      <c r="G268" t="str">
        <f t="shared" si="16"/>
        <v>Jan</v>
      </c>
      <c r="H268">
        <v>13</v>
      </c>
      <c r="I268">
        <f t="shared" si="18"/>
        <v>1</v>
      </c>
      <c r="J268" t="s">
        <v>126</v>
      </c>
      <c r="K268">
        <v>3</v>
      </c>
      <c r="L268" t="str">
        <f t="shared" si="19"/>
        <v>Weekday</v>
      </c>
      <c r="M268">
        <v>1</v>
      </c>
      <c r="N268" t="str" cm="1">
        <f t="array" ref="N268">_xlfn.IFS(M268=1,"Sunny Day",M268=2,"Cloudy Day",M268=3,"Rainy Day",M268=4,"Heavy Rain")</f>
        <v>Sunny Day</v>
      </c>
      <c r="O268">
        <v>0.22</v>
      </c>
      <c r="P268">
        <v>0.19700000000000001</v>
      </c>
      <c r="Q268">
        <v>0.44</v>
      </c>
      <c r="R268">
        <v>0.35820000000000002</v>
      </c>
      <c r="S268">
        <v>0</v>
      </c>
      <c r="T268">
        <v>49</v>
      </c>
      <c r="U268">
        <v>49</v>
      </c>
    </row>
    <row r="269" spans="1:21" x14ac:dyDescent="0.3">
      <c r="A269">
        <v>268</v>
      </c>
      <c r="B269" t="s">
        <v>27</v>
      </c>
      <c r="C269" t="str">
        <f t="shared" si="17"/>
        <v>12-Jan-2011</v>
      </c>
      <c r="D269">
        <v>1</v>
      </c>
      <c r="E269">
        <v>0</v>
      </c>
      <c r="F269">
        <v>1</v>
      </c>
      <c r="G269" t="str">
        <f t="shared" si="16"/>
        <v>Jan</v>
      </c>
      <c r="H269">
        <v>14</v>
      </c>
      <c r="I269">
        <f t="shared" si="18"/>
        <v>1</v>
      </c>
      <c r="J269" t="s">
        <v>126</v>
      </c>
      <c r="K269">
        <v>3</v>
      </c>
      <c r="L269" t="str">
        <f t="shared" si="19"/>
        <v>Weekday</v>
      </c>
      <c r="M269">
        <v>1</v>
      </c>
      <c r="N269" t="str" cm="1">
        <f t="array" ref="N269">_xlfn.IFS(M269=1,"Sunny Day",M269=2,"Cloudy Day",M269=3,"Rainy Day",M269=4,"Heavy Rain")</f>
        <v>Sunny Day</v>
      </c>
      <c r="O269">
        <v>0.2</v>
      </c>
      <c r="P269">
        <v>0.18179999999999999</v>
      </c>
      <c r="Q269">
        <v>0.47</v>
      </c>
      <c r="R269">
        <v>0.32840000000000003</v>
      </c>
      <c r="S269">
        <v>0</v>
      </c>
      <c r="T269">
        <v>44</v>
      </c>
      <c r="U269">
        <v>44</v>
      </c>
    </row>
    <row r="270" spans="1:21" x14ac:dyDescent="0.3">
      <c r="A270">
        <v>269</v>
      </c>
      <c r="B270" t="s">
        <v>27</v>
      </c>
      <c r="C270" t="str">
        <f t="shared" si="17"/>
        <v>12-Jan-2011</v>
      </c>
      <c r="D270">
        <v>1</v>
      </c>
      <c r="E270">
        <v>0</v>
      </c>
      <c r="F270">
        <v>1</v>
      </c>
      <c r="G270" t="str">
        <f t="shared" si="16"/>
        <v>Jan</v>
      </c>
      <c r="H270">
        <v>15</v>
      </c>
      <c r="I270">
        <f t="shared" si="18"/>
        <v>1</v>
      </c>
      <c r="J270" t="s">
        <v>126</v>
      </c>
      <c r="K270">
        <v>3</v>
      </c>
      <c r="L270" t="str">
        <f t="shared" si="19"/>
        <v>Weekday</v>
      </c>
      <c r="M270">
        <v>1</v>
      </c>
      <c r="N270" t="str" cm="1">
        <f t="array" ref="N270">_xlfn.IFS(M270=1,"Sunny Day",M270=2,"Cloudy Day",M270=3,"Rainy Day",M270=4,"Heavy Rain")</f>
        <v>Sunny Day</v>
      </c>
      <c r="O270">
        <v>0.2</v>
      </c>
      <c r="P270">
        <v>0.16669999999999999</v>
      </c>
      <c r="Q270">
        <v>0.47</v>
      </c>
      <c r="R270">
        <v>0.41789999999999999</v>
      </c>
      <c r="S270">
        <v>1</v>
      </c>
      <c r="T270">
        <v>48</v>
      </c>
      <c r="U270">
        <v>49</v>
      </c>
    </row>
    <row r="271" spans="1:21" x14ac:dyDescent="0.3">
      <c r="A271">
        <v>270</v>
      </c>
      <c r="B271" t="s">
        <v>27</v>
      </c>
      <c r="C271" t="str">
        <f t="shared" si="17"/>
        <v>12-Jan-2011</v>
      </c>
      <c r="D271">
        <v>1</v>
      </c>
      <c r="E271">
        <v>0</v>
      </c>
      <c r="F271">
        <v>1</v>
      </c>
      <c r="G271" t="str">
        <f t="shared" si="16"/>
        <v>Jan</v>
      </c>
      <c r="H271">
        <v>16</v>
      </c>
      <c r="I271">
        <f t="shared" si="18"/>
        <v>1</v>
      </c>
      <c r="J271" t="s">
        <v>126</v>
      </c>
      <c r="K271">
        <v>3</v>
      </c>
      <c r="L271" t="str">
        <f t="shared" si="19"/>
        <v>Weekday</v>
      </c>
      <c r="M271">
        <v>1</v>
      </c>
      <c r="N271" t="str" cm="1">
        <f t="array" ref="N271">_xlfn.IFS(M271=1,"Sunny Day",M271=2,"Cloudy Day",M271=3,"Rainy Day",M271=4,"Heavy Rain")</f>
        <v>Sunny Day</v>
      </c>
      <c r="O271">
        <v>0.22</v>
      </c>
      <c r="P271">
        <v>0.19700000000000001</v>
      </c>
      <c r="Q271">
        <v>0.44</v>
      </c>
      <c r="R271">
        <v>0.32840000000000003</v>
      </c>
      <c r="S271">
        <v>5</v>
      </c>
      <c r="T271">
        <v>63</v>
      </c>
      <c r="U271">
        <v>68</v>
      </c>
    </row>
    <row r="272" spans="1:21" x14ac:dyDescent="0.3">
      <c r="A272">
        <v>271</v>
      </c>
      <c r="B272" t="s">
        <v>27</v>
      </c>
      <c r="C272" t="str">
        <f t="shared" si="17"/>
        <v>12-Jan-2011</v>
      </c>
      <c r="D272">
        <v>1</v>
      </c>
      <c r="E272">
        <v>0</v>
      </c>
      <c r="F272">
        <v>1</v>
      </c>
      <c r="G272" t="str">
        <f t="shared" si="16"/>
        <v>Jan</v>
      </c>
      <c r="H272">
        <v>17</v>
      </c>
      <c r="I272">
        <f t="shared" si="18"/>
        <v>1</v>
      </c>
      <c r="J272" t="s">
        <v>126</v>
      </c>
      <c r="K272">
        <v>3</v>
      </c>
      <c r="L272" t="str">
        <f t="shared" si="19"/>
        <v>Weekday</v>
      </c>
      <c r="M272">
        <v>1</v>
      </c>
      <c r="N272" t="str" cm="1">
        <f t="array" ref="N272">_xlfn.IFS(M272=1,"Sunny Day",M272=2,"Cloudy Day",M272=3,"Rainy Day",M272=4,"Heavy Rain")</f>
        <v>Sunny Day</v>
      </c>
      <c r="O272">
        <v>0.2</v>
      </c>
      <c r="P272">
        <v>0.18179999999999999</v>
      </c>
      <c r="Q272">
        <v>0.47</v>
      </c>
      <c r="R272">
        <v>0.35820000000000002</v>
      </c>
      <c r="S272">
        <v>0</v>
      </c>
      <c r="T272">
        <v>139</v>
      </c>
      <c r="U272">
        <v>139</v>
      </c>
    </row>
    <row r="273" spans="1:21" x14ac:dyDescent="0.3">
      <c r="A273">
        <v>272</v>
      </c>
      <c r="B273" t="s">
        <v>27</v>
      </c>
      <c r="C273" t="str">
        <f t="shared" si="17"/>
        <v>12-Jan-2011</v>
      </c>
      <c r="D273">
        <v>1</v>
      </c>
      <c r="E273">
        <v>0</v>
      </c>
      <c r="F273">
        <v>1</v>
      </c>
      <c r="G273" t="str">
        <f t="shared" si="16"/>
        <v>Jan</v>
      </c>
      <c r="H273">
        <v>18</v>
      </c>
      <c r="I273">
        <f t="shared" si="18"/>
        <v>1</v>
      </c>
      <c r="J273" t="s">
        <v>126</v>
      </c>
      <c r="K273">
        <v>3</v>
      </c>
      <c r="L273" t="str">
        <f t="shared" si="19"/>
        <v>Weekday</v>
      </c>
      <c r="M273">
        <v>1</v>
      </c>
      <c r="N273" t="str" cm="1">
        <f t="array" ref="N273">_xlfn.IFS(M273=1,"Sunny Day",M273=2,"Cloudy Day",M273=3,"Rainy Day",M273=4,"Heavy Rain")</f>
        <v>Sunny Day</v>
      </c>
      <c r="O273">
        <v>0.2</v>
      </c>
      <c r="P273">
        <v>0.1515</v>
      </c>
      <c r="Q273">
        <v>0.47</v>
      </c>
      <c r="R273">
        <v>0.52239999999999998</v>
      </c>
      <c r="S273">
        <v>2</v>
      </c>
      <c r="T273">
        <v>135</v>
      </c>
      <c r="U273">
        <v>137</v>
      </c>
    </row>
    <row r="274" spans="1:21" x14ac:dyDescent="0.3">
      <c r="A274">
        <v>273</v>
      </c>
      <c r="B274" t="s">
        <v>27</v>
      </c>
      <c r="C274" t="str">
        <f t="shared" si="17"/>
        <v>12-Jan-2011</v>
      </c>
      <c r="D274">
        <v>1</v>
      </c>
      <c r="E274">
        <v>0</v>
      </c>
      <c r="F274">
        <v>1</v>
      </c>
      <c r="G274" t="str">
        <f t="shared" si="16"/>
        <v>Jan</v>
      </c>
      <c r="H274">
        <v>19</v>
      </c>
      <c r="I274">
        <f t="shared" si="18"/>
        <v>1</v>
      </c>
      <c r="J274" t="s">
        <v>126</v>
      </c>
      <c r="K274">
        <v>3</v>
      </c>
      <c r="L274" t="str">
        <f t="shared" si="19"/>
        <v>Weekday</v>
      </c>
      <c r="M274">
        <v>1</v>
      </c>
      <c r="N274" t="str" cm="1">
        <f t="array" ref="N274">_xlfn.IFS(M274=1,"Sunny Day",M274=2,"Cloudy Day",M274=3,"Rainy Day",M274=4,"Heavy Rain")</f>
        <v>Sunny Day</v>
      </c>
      <c r="O274">
        <v>0.18</v>
      </c>
      <c r="P274">
        <v>0.1515</v>
      </c>
      <c r="Q274">
        <v>0.47</v>
      </c>
      <c r="R274">
        <v>0.41789999999999999</v>
      </c>
      <c r="S274">
        <v>1</v>
      </c>
      <c r="T274">
        <v>82</v>
      </c>
      <c r="U274">
        <v>83</v>
      </c>
    </row>
    <row r="275" spans="1:21" x14ac:dyDescent="0.3">
      <c r="A275">
        <v>274</v>
      </c>
      <c r="B275" t="s">
        <v>27</v>
      </c>
      <c r="C275" t="str">
        <f t="shared" si="17"/>
        <v>12-Jan-2011</v>
      </c>
      <c r="D275">
        <v>1</v>
      </c>
      <c r="E275">
        <v>0</v>
      </c>
      <c r="F275">
        <v>1</v>
      </c>
      <c r="G275" t="str">
        <f t="shared" si="16"/>
        <v>Jan</v>
      </c>
      <c r="H275">
        <v>20</v>
      </c>
      <c r="I275">
        <f t="shared" si="18"/>
        <v>1</v>
      </c>
      <c r="J275" t="s">
        <v>126</v>
      </c>
      <c r="K275">
        <v>3</v>
      </c>
      <c r="L275" t="str">
        <f t="shared" si="19"/>
        <v>Weekday</v>
      </c>
      <c r="M275">
        <v>1</v>
      </c>
      <c r="N275" t="str" cm="1">
        <f t="array" ref="N275">_xlfn.IFS(M275=1,"Sunny Day",M275=2,"Cloudy Day",M275=3,"Rainy Day",M275=4,"Heavy Rain")</f>
        <v>Sunny Day</v>
      </c>
      <c r="O275">
        <v>0.16</v>
      </c>
      <c r="P275">
        <v>0.13639999999999999</v>
      </c>
      <c r="Q275">
        <v>0.5</v>
      </c>
      <c r="R275">
        <v>0.32840000000000003</v>
      </c>
      <c r="S275">
        <v>2</v>
      </c>
      <c r="T275">
        <v>54</v>
      </c>
      <c r="U275">
        <v>56</v>
      </c>
    </row>
    <row r="276" spans="1:21" x14ac:dyDescent="0.3">
      <c r="A276">
        <v>275</v>
      </c>
      <c r="B276" t="s">
        <v>27</v>
      </c>
      <c r="C276" t="str">
        <f t="shared" si="17"/>
        <v>12-Jan-2011</v>
      </c>
      <c r="D276">
        <v>1</v>
      </c>
      <c r="E276">
        <v>0</v>
      </c>
      <c r="F276">
        <v>1</v>
      </c>
      <c r="G276" t="str">
        <f t="shared" si="16"/>
        <v>Jan</v>
      </c>
      <c r="H276">
        <v>21</v>
      </c>
      <c r="I276">
        <f t="shared" si="18"/>
        <v>1</v>
      </c>
      <c r="J276" t="s">
        <v>126</v>
      </c>
      <c r="K276">
        <v>3</v>
      </c>
      <c r="L276" t="str">
        <f t="shared" si="19"/>
        <v>Weekday</v>
      </c>
      <c r="M276">
        <v>1</v>
      </c>
      <c r="N276" t="str" cm="1">
        <f t="array" ref="N276">_xlfn.IFS(M276=1,"Sunny Day",M276=2,"Cloudy Day",M276=3,"Rainy Day",M276=4,"Heavy Rain")</f>
        <v>Sunny Day</v>
      </c>
      <c r="O276">
        <v>0.16</v>
      </c>
      <c r="P276">
        <v>0.13639999999999999</v>
      </c>
      <c r="Q276">
        <v>0.55000000000000004</v>
      </c>
      <c r="R276">
        <v>0.32840000000000003</v>
      </c>
      <c r="S276">
        <v>0</v>
      </c>
      <c r="T276">
        <v>57</v>
      </c>
      <c r="U276">
        <v>57</v>
      </c>
    </row>
    <row r="277" spans="1:21" x14ac:dyDescent="0.3">
      <c r="A277">
        <v>276</v>
      </c>
      <c r="B277" t="s">
        <v>27</v>
      </c>
      <c r="C277" t="str">
        <f t="shared" si="17"/>
        <v>12-Jan-2011</v>
      </c>
      <c r="D277">
        <v>1</v>
      </c>
      <c r="E277">
        <v>0</v>
      </c>
      <c r="F277">
        <v>1</v>
      </c>
      <c r="G277" t="str">
        <f t="shared" si="16"/>
        <v>Jan</v>
      </c>
      <c r="H277">
        <v>22</v>
      </c>
      <c r="I277">
        <f t="shared" si="18"/>
        <v>1</v>
      </c>
      <c r="J277" t="s">
        <v>126</v>
      </c>
      <c r="K277">
        <v>3</v>
      </c>
      <c r="L277" t="str">
        <f t="shared" si="19"/>
        <v>Weekday</v>
      </c>
      <c r="M277">
        <v>1</v>
      </c>
      <c r="N277" t="str" cm="1">
        <f t="array" ref="N277">_xlfn.IFS(M277=1,"Sunny Day",M277=2,"Cloudy Day",M277=3,"Rainy Day",M277=4,"Heavy Rain")</f>
        <v>Sunny Day</v>
      </c>
      <c r="O277">
        <v>0.16</v>
      </c>
      <c r="P277">
        <v>0.1212</v>
      </c>
      <c r="Q277">
        <v>0.55000000000000004</v>
      </c>
      <c r="R277">
        <v>0.44779999999999998</v>
      </c>
      <c r="S277">
        <v>1</v>
      </c>
      <c r="T277">
        <v>32</v>
      </c>
      <c r="U277">
        <v>33</v>
      </c>
    </row>
    <row r="278" spans="1:21" x14ac:dyDescent="0.3">
      <c r="A278">
        <v>277</v>
      </c>
      <c r="B278" t="s">
        <v>27</v>
      </c>
      <c r="C278" t="str">
        <f t="shared" si="17"/>
        <v>12-Jan-2011</v>
      </c>
      <c r="D278">
        <v>1</v>
      </c>
      <c r="E278">
        <v>0</v>
      </c>
      <c r="F278">
        <v>1</v>
      </c>
      <c r="G278" t="str">
        <f t="shared" si="16"/>
        <v>Jan</v>
      </c>
      <c r="H278">
        <v>23</v>
      </c>
      <c r="I278">
        <f t="shared" si="18"/>
        <v>1</v>
      </c>
      <c r="J278" t="s">
        <v>126</v>
      </c>
      <c r="K278">
        <v>3</v>
      </c>
      <c r="L278" t="str">
        <f t="shared" si="19"/>
        <v>Weekday</v>
      </c>
      <c r="M278">
        <v>1</v>
      </c>
      <c r="N278" t="str" cm="1">
        <f t="array" ref="N278">_xlfn.IFS(M278=1,"Sunny Day",M278=2,"Cloudy Day",M278=3,"Rainy Day",M278=4,"Heavy Rain")</f>
        <v>Sunny Day</v>
      </c>
      <c r="O278">
        <v>0.14000000000000001</v>
      </c>
      <c r="P278">
        <v>0.1061</v>
      </c>
      <c r="Q278">
        <v>0.59</v>
      </c>
      <c r="R278">
        <v>0.41789999999999999</v>
      </c>
      <c r="S278">
        <v>1</v>
      </c>
      <c r="T278">
        <v>19</v>
      </c>
      <c r="U278">
        <v>20</v>
      </c>
    </row>
    <row r="279" spans="1:21" x14ac:dyDescent="0.3">
      <c r="A279">
        <v>278</v>
      </c>
      <c r="B279" t="s">
        <v>29</v>
      </c>
      <c r="C279" t="str">
        <f t="shared" si="17"/>
        <v>13-Jan-2011</v>
      </c>
      <c r="D279">
        <v>1</v>
      </c>
      <c r="E279">
        <v>0</v>
      </c>
      <c r="F279">
        <v>1</v>
      </c>
      <c r="G279" t="str">
        <f t="shared" si="16"/>
        <v>Jan</v>
      </c>
      <c r="H279">
        <v>0</v>
      </c>
      <c r="I279">
        <f t="shared" si="18"/>
        <v>0</v>
      </c>
      <c r="J279" t="s">
        <v>126</v>
      </c>
      <c r="K279">
        <v>4</v>
      </c>
      <c r="L279" t="str">
        <f t="shared" si="19"/>
        <v>Weekday</v>
      </c>
      <c r="M279">
        <v>1</v>
      </c>
      <c r="N279" t="str" cm="1">
        <f t="array" ref="N279">_xlfn.IFS(M279=1,"Sunny Day",M279=2,"Cloudy Day",M279=3,"Rainy Day",M279=4,"Heavy Rain")</f>
        <v>Sunny Day</v>
      </c>
      <c r="O279">
        <v>0.14000000000000001</v>
      </c>
      <c r="P279">
        <v>0.1212</v>
      </c>
      <c r="Q279">
        <v>0.59</v>
      </c>
      <c r="R279">
        <v>0.28360000000000002</v>
      </c>
      <c r="S279">
        <v>1</v>
      </c>
      <c r="T279">
        <v>6</v>
      </c>
      <c r="U279">
        <v>7</v>
      </c>
    </row>
    <row r="280" spans="1:21" x14ac:dyDescent="0.3">
      <c r="A280">
        <v>279</v>
      </c>
      <c r="B280" t="s">
        <v>29</v>
      </c>
      <c r="C280" t="str">
        <f t="shared" si="17"/>
        <v>13-Jan-2011</v>
      </c>
      <c r="D280">
        <v>1</v>
      </c>
      <c r="E280">
        <v>0</v>
      </c>
      <c r="F280">
        <v>1</v>
      </c>
      <c r="G280" t="str">
        <f t="shared" si="16"/>
        <v>Jan</v>
      </c>
      <c r="H280">
        <v>1</v>
      </c>
      <c r="I280">
        <f t="shared" si="18"/>
        <v>0</v>
      </c>
      <c r="J280" t="s">
        <v>126</v>
      </c>
      <c r="K280">
        <v>4</v>
      </c>
      <c r="L280" t="str">
        <f t="shared" si="19"/>
        <v>Weekday</v>
      </c>
      <c r="M280">
        <v>1</v>
      </c>
      <c r="N280" t="str" cm="1">
        <f t="array" ref="N280">_xlfn.IFS(M280=1,"Sunny Day",M280=2,"Cloudy Day",M280=3,"Rainy Day",M280=4,"Heavy Rain")</f>
        <v>Sunny Day</v>
      </c>
      <c r="O280">
        <v>0.14000000000000001</v>
      </c>
      <c r="P280">
        <v>0.1212</v>
      </c>
      <c r="Q280">
        <v>0.5</v>
      </c>
      <c r="R280">
        <v>0.28360000000000002</v>
      </c>
      <c r="S280">
        <v>0</v>
      </c>
      <c r="T280">
        <v>2</v>
      </c>
      <c r="U280">
        <v>2</v>
      </c>
    </row>
    <row r="281" spans="1:21" x14ac:dyDescent="0.3">
      <c r="A281">
        <v>280</v>
      </c>
      <c r="B281" t="s">
        <v>29</v>
      </c>
      <c r="C281" t="str">
        <f t="shared" si="17"/>
        <v>13-Jan-2011</v>
      </c>
      <c r="D281">
        <v>1</v>
      </c>
      <c r="E281">
        <v>0</v>
      </c>
      <c r="F281">
        <v>1</v>
      </c>
      <c r="G281" t="str">
        <f t="shared" si="16"/>
        <v>Jan</v>
      </c>
      <c r="H281">
        <v>2</v>
      </c>
      <c r="I281">
        <f t="shared" si="18"/>
        <v>0</v>
      </c>
      <c r="J281" t="s">
        <v>126</v>
      </c>
      <c r="K281">
        <v>4</v>
      </c>
      <c r="L281" t="str">
        <f t="shared" si="19"/>
        <v>Weekday</v>
      </c>
      <c r="M281">
        <v>1</v>
      </c>
      <c r="N281" t="str" cm="1">
        <f t="array" ref="N281">_xlfn.IFS(M281=1,"Sunny Day",M281=2,"Cloudy Day",M281=3,"Rainy Day",M281=4,"Heavy Rain")</f>
        <v>Sunny Day</v>
      </c>
      <c r="O281">
        <v>0.14000000000000001</v>
      </c>
      <c r="P281">
        <v>0.1212</v>
      </c>
      <c r="Q281">
        <v>0.5</v>
      </c>
      <c r="R281">
        <v>0.35820000000000002</v>
      </c>
      <c r="S281">
        <v>0</v>
      </c>
      <c r="T281">
        <v>2</v>
      </c>
      <c r="U281">
        <v>2</v>
      </c>
    </row>
    <row r="282" spans="1:21" x14ac:dyDescent="0.3">
      <c r="A282">
        <v>281</v>
      </c>
      <c r="B282" t="s">
        <v>29</v>
      </c>
      <c r="C282" t="str">
        <f t="shared" si="17"/>
        <v>13-Jan-2011</v>
      </c>
      <c r="D282">
        <v>1</v>
      </c>
      <c r="E282">
        <v>0</v>
      </c>
      <c r="F282">
        <v>1</v>
      </c>
      <c r="G282" t="str">
        <f t="shared" si="16"/>
        <v>Jan</v>
      </c>
      <c r="H282">
        <v>3</v>
      </c>
      <c r="I282">
        <f t="shared" si="18"/>
        <v>0</v>
      </c>
      <c r="J282" t="s">
        <v>126</v>
      </c>
      <c r="K282">
        <v>4</v>
      </c>
      <c r="L282" t="str">
        <f t="shared" si="19"/>
        <v>Weekday</v>
      </c>
      <c r="M282">
        <v>1</v>
      </c>
      <c r="N282" t="str" cm="1">
        <f t="array" ref="N282">_xlfn.IFS(M282=1,"Sunny Day",M282=2,"Cloudy Day",M282=3,"Rainy Day",M282=4,"Heavy Rain")</f>
        <v>Sunny Day</v>
      </c>
      <c r="O282">
        <v>0.14000000000000001</v>
      </c>
      <c r="P282">
        <v>0.1212</v>
      </c>
      <c r="Q282">
        <v>0.5</v>
      </c>
      <c r="R282">
        <v>0.32840000000000003</v>
      </c>
      <c r="S282">
        <v>0</v>
      </c>
      <c r="T282">
        <v>3</v>
      </c>
      <c r="U282">
        <v>3</v>
      </c>
    </row>
    <row r="283" spans="1:21" x14ac:dyDescent="0.3">
      <c r="A283">
        <v>282</v>
      </c>
      <c r="B283" t="s">
        <v>29</v>
      </c>
      <c r="C283" t="str">
        <f t="shared" si="17"/>
        <v>13-Jan-2011</v>
      </c>
      <c r="D283">
        <v>1</v>
      </c>
      <c r="E283">
        <v>0</v>
      </c>
      <c r="F283">
        <v>1</v>
      </c>
      <c r="G283" t="str">
        <f t="shared" si="16"/>
        <v>Jan</v>
      </c>
      <c r="H283">
        <v>4</v>
      </c>
      <c r="I283">
        <f t="shared" si="18"/>
        <v>0</v>
      </c>
      <c r="J283" t="s">
        <v>126</v>
      </c>
      <c r="K283">
        <v>4</v>
      </c>
      <c r="L283" t="str">
        <f t="shared" si="19"/>
        <v>Weekday</v>
      </c>
      <c r="M283">
        <v>1</v>
      </c>
      <c r="N283" t="str" cm="1">
        <f t="array" ref="N283">_xlfn.IFS(M283=1,"Sunny Day",M283=2,"Cloudy Day",M283=3,"Rainy Day",M283=4,"Heavy Rain")</f>
        <v>Sunny Day</v>
      </c>
      <c r="O283">
        <v>0.14000000000000001</v>
      </c>
      <c r="P283">
        <v>0.1212</v>
      </c>
      <c r="Q283">
        <v>0.5</v>
      </c>
      <c r="R283">
        <v>0.25369999999999998</v>
      </c>
      <c r="S283">
        <v>0</v>
      </c>
      <c r="T283">
        <v>4</v>
      </c>
      <c r="U283">
        <v>4</v>
      </c>
    </row>
    <row r="284" spans="1:21" x14ac:dyDescent="0.3">
      <c r="A284">
        <v>283</v>
      </c>
      <c r="B284" t="s">
        <v>29</v>
      </c>
      <c r="C284" t="str">
        <f t="shared" si="17"/>
        <v>13-Jan-2011</v>
      </c>
      <c r="D284">
        <v>1</v>
      </c>
      <c r="E284">
        <v>0</v>
      </c>
      <c r="F284">
        <v>1</v>
      </c>
      <c r="G284" t="str">
        <f t="shared" si="16"/>
        <v>Jan</v>
      </c>
      <c r="H284">
        <v>5</v>
      </c>
      <c r="I284">
        <f t="shared" si="18"/>
        <v>0</v>
      </c>
      <c r="J284" t="s">
        <v>126</v>
      </c>
      <c r="K284">
        <v>4</v>
      </c>
      <c r="L284" t="str">
        <f t="shared" si="19"/>
        <v>Weekday</v>
      </c>
      <c r="M284">
        <v>1</v>
      </c>
      <c r="N284" t="str" cm="1">
        <f t="array" ref="N284">_xlfn.IFS(M284=1,"Sunny Day",M284=2,"Cloudy Day",M284=3,"Rainy Day",M284=4,"Heavy Rain")</f>
        <v>Sunny Day</v>
      </c>
      <c r="O284">
        <v>0.14000000000000001</v>
      </c>
      <c r="P284">
        <v>0.1212</v>
      </c>
      <c r="Q284">
        <v>0.5</v>
      </c>
      <c r="R284">
        <v>0.29849999999999999</v>
      </c>
      <c r="S284">
        <v>0</v>
      </c>
      <c r="T284">
        <v>3</v>
      </c>
      <c r="U284">
        <v>3</v>
      </c>
    </row>
    <row r="285" spans="1:21" x14ac:dyDescent="0.3">
      <c r="A285">
        <v>284</v>
      </c>
      <c r="B285" t="s">
        <v>29</v>
      </c>
      <c r="C285" t="str">
        <f t="shared" si="17"/>
        <v>13-Jan-2011</v>
      </c>
      <c r="D285">
        <v>1</v>
      </c>
      <c r="E285">
        <v>0</v>
      </c>
      <c r="F285">
        <v>1</v>
      </c>
      <c r="G285" t="str">
        <f t="shared" si="16"/>
        <v>Jan</v>
      </c>
      <c r="H285">
        <v>6</v>
      </c>
      <c r="I285">
        <f t="shared" si="18"/>
        <v>0</v>
      </c>
      <c r="J285" t="s">
        <v>126</v>
      </c>
      <c r="K285">
        <v>4</v>
      </c>
      <c r="L285" t="str">
        <f t="shared" si="19"/>
        <v>Weekday</v>
      </c>
      <c r="M285">
        <v>1</v>
      </c>
      <c r="N285" t="str" cm="1">
        <f t="array" ref="N285">_xlfn.IFS(M285=1,"Sunny Day",M285=2,"Cloudy Day",M285=3,"Rainy Day",M285=4,"Heavy Rain")</f>
        <v>Sunny Day</v>
      </c>
      <c r="O285">
        <v>0.12</v>
      </c>
      <c r="P285">
        <v>0.1515</v>
      </c>
      <c r="Q285">
        <v>0.54</v>
      </c>
      <c r="R285">
        <v>0.1343</v>
      </c>
      <c r="S285">
        <v>0</v>
      </c>
      <c r="T285">
        <v>28</v>
      </c>
      <c r="U285">
        <v>28</v>
      </c>
    </row>
    <row r="286" spans="1:21" x14ac:dyDescent="0.3">
      <c r="A286">
        <v>285</v>
      </c>
      <c r="B286" t="s">
        <v>29</v>
      </c>
      <c r="C286" t="str">
        <f t="shared" si="17"/>
        <v>13-Jan-2011</v>
      </c>
      <c r="D286">
        <v>1</v>
      </c>
      <c r="E286">
        <v>0</v>
      </c>
      <c r="F286">
        <v>1</v>
      </c>
      <c r="G286" t="str">
        <f t="shared" si="16"/>
        <v>Jan</v>
      </c>
      <c r="H286">
        <v>7</v>
      </c>
      <c r="I286">
        <f t="shared" si="18"/>
        <v>0</v>
      </c>
      <c r="J286" t="s">
        <v>126</v>
      </c>
      <c r="K286">
        <v>4</v>
      </c>
      <c r="L286" t="str">
        <f t="shared" si="19"/>
        <v>Weekday</v>
      </c>
      <c r="M286">
        <v>1</v>
      </c>
      <c r="N286" t="str" cm="1">
        <f t="array" ref="N286">_xlfn.IFS(M286=1,"Sunny Day",M286=2,"Cloudy Day",M286=3,"Rainy Day",M286=4,"Heavy Rain")</f>
        <v>Sunny Day</v>
      </c>
      <c r="O286">
        <v>0.12</v>
      </c>
      <c r="P286">
        <v>0.1515</v>
      </c>
      <c r="Q286">
        <v>0.54</v>
      </c>
      <c r="R286">
        <v>0.1343</v>
      </c>
      <c r="S286">
        <v>0</v>
      </c>
      <c r="T286">
        <v>72</v>
      </c>
      <c r="U286">
        <v>72</v>
      </c>
    </row>
    <row r="287" spans="1:21" x14ac:dyDescent="0.3">
      <c r="A287">
        <v>286</v>
      </c>
      <c r="B287" t="s">
        <v>29</v>
      </c>
      <c r="C287" t="str">
        <f t="shared" si="17"/>
        <v>13-Jan-2011</v>
      </c>
      <c r="D287">
        <v>1</v>
      </c>
      <c r="E287">
        <v>0</v>
      </c>
      <c r="F287">
        <v>1</v>
      </c>
      <c r="G287" t="str">
        <f t="shared" si="16"/>
        <v>Jan</v>
      </c>
      <c r="H287">
        <v>8</v>
      </c>
      <c r="I287">
        <f t="shared" si="18"/>
        <v>0</v>
      </c>
      <c r="J287" t="s">
        <v>126</v>
      </c>
      <c r="K287">
        <v>4</v>
      </c>
      <c r="L287" t="str">
        <f t="shared" si="19"/>
        <v>Weekday</v>
      </c>
      <c r="M287">
        <v>1</v>
      </c>
      <c r="N287" t="str" cm="1">
        <f t="array" ref="N287">_xlfn.IFS(M287=1,"Sunny Day",M287=2,"Cloudy Day",M287=3,"Rainy Day",M287=4,"Heavy Rain")</f>
        <v>Sunny Day</v>
      </c>
      <c r="O287">
        <v>0.14000000000000001</v>
      </c>
      <c r="P287">
        <v>0.13639999999999999</v>
      </c>
      <c r="Q287">
        <v>0.5</v>
      </c>
      <c r="R287">
        <v>0.19400000000000001</v>
      </c>
      <c r="S287">
        <v>5</v>
      </c>
      <c r="T287">
        <v>197</v>
      </c>
      <c r="U287">
        <v>202</v>
      </c>
    </row>
    <row r="288" spans="1:21" x14ac:dyDescent="0.3">
      <c r="A288">
        <v>287</v>
      </c>
      <c r="B288" t="s">
        <v>29</v>
      </c>
      <c r="C288" t="str">
        <f t="shared" si="17"/>
        <v>13-Jan-2011</v>
      </c>
      <c r="D288">
        <v>1</v>
      </c>
      <c r="E288">
        <v>0</v>
      </c>
      <c r="F288">
        <v>1</v>
      </c>
      <c r="G288" t="str">
        <f t="shared" si="16"/>
        <v>Jan</v>
      </c>
      <c r="H288">
        <v>9</v>
      </c>
      <c r="I288">
        <f t="shared" si="18"/>
        <v>0</v>
      </c>
      <c r="J288" t="s">
        <v>126</v>
      </c>
      <c r="K288">
        <v>4</v>
      </c>
      <c r="L288" t="str">
        <f t="shared" si="19"/>
        <v>Weekday</v>
      </c>
      <c r="M288">
        <v>1</v>
      </c>
      <c r="N288" t="str" cm="1">
        <f t="array" ref="N288">_xlfn.IFS(M288=1,"Sunny Day",M288=2,"Cloudy Day",M288=3,"Rainy Day",M288=4,"Heavy Rain")</f>
        <v>Sunny Day</v>
      </c>
      <c r="O288">
        <v>0.14000000000000001</v>
      </c>
      <c r="P288">
        <v>0.1212</v>
      </c>
      <c r="Q288">
        <v>0.5</v>
      </c>
      <c r="R288">
        <v>0.32840000000000003</v>
      </c>
      <c r="S288">
        <v>2</v>
      </c>
      <c r="T288">
        <v>137</v>
      </c>
      <c r="U288">
        <v>139</v>
      </c>
    </row>
    <row r="289" spans="1:21" x14ac:dyDescent="0.3">
      <c r="A289">
        <v>288</v>
      </c>
      <c r="B289" t="s">
        <v>29</v>
      </c>
      <c r="C289" t="str">
        <f t="shared" si="17"/>
        <v>13-Jan-2011</v>
      </c>
      <c r="D289">
        <v>1</v>
      </c>
      <c r="E289">
        <v>0</v>
      </c>
      <c r="F289">
        <v>1</v>
      </c>
      <c r="G289" t="str">
        <f t="shared" si="16"/>
        <v>Jan</v>
      </c>
      <c r="H289">
        <v>10</v>
      </c>
      <c r="I289">
        <f t="shared" si="18"/>
        <v>0</v>
      </c>
      <c r="J289" t="s">
        <v>126</v>
      </c>
      <c r="K289">
        <v>4</v>
      </c>
      <c r="L289" t="str">
        <f t="shared" si="19"/>
        <v>Weekday</v>
      </c>
      <c r="M289">
        <v>2</v>
      </c>
      <c r="N289" t="str" cm="1">
        <f t="array" ref="N289">_xlfn.IFS(M289=1,"Sunny Day",M289=2,"Cloudy Day",M289=3,"Rainy Day",M289=4,"Heavy Rain")</f>
        <v>Cloudy Day</v>
      </c>
      <c r="O289">
        <v>0.16</v>
      </c>
      <c r="P289">
        <v>0.13639999999999999</v>
      </c>
      <c r="Q289">
        <v>0.5</v>
      </c>
      <c r="R289">
        <v>0.35820000000000002</v>
      </c>
      <c r="S289">
        <v>2</v>
      </c>
      <c r="T289">
        <v>36</v>
      </c>
      <c r="U289">
        <v>38</v>
      </c>
    </row>
    <row r="290" spans="1:21" x14ac:dyDescent="0.3">
      <c r="A290">
        <v>289</v>
      </c>
      <c r="B290" t="s">
        <v>29</v>
      </c>
      <c r="C290" t="str">
        <f t="shared" si="17"/>
        <v>13-Jan-2011</v>
      </c>
      <c r="D290">
        <v>1</v>
      </c>
      <c r="E290">
        <v>0</v>
      </c>
      <c r="F290">
        <v>1</v>
      </c>
      <c r="G290" t="str">
        <f t="shared" si="16"/>
        <v>Jan</v>
      </c>
      <c r="H290">
        <v>11</v>
      </c>
      <c r="I290">
        <f t="shared" si="18"/>
        <v>1</v>
      </c>
      <c r="J290" t="s">
        <v>126</v>
      </c>
      <c r="K290">
        <v>4</v>
      </c>
      <c r="L290" t="str">
        <f t="shared" si="19"/>
        <v>Weekday</v>
      </c>
      <c r="M290">
        <v>2</v>
      </c>
      <c r="N290" t="str" cm="1">
        <f t="array" ref="N290">_xlfn.IFS(M290=1,"Sunny Day",M290=2,"Cloudy Day",M290=3,"Rainy Day",M290=4,"Heavy Rain")</f>
        <v>Cloudy Day</v>
      </c>
      <c r="O290">
        <v>0.2</v>
      </c>
      <c r="P290">
        <v>0.16669999999999999</v>
      </c>
      <c r="Q290">
        <v>0.44</v>
      </c>
      <c r="R290">
        <v>0.44779999999999998</v>
      </c>
      <c r="S290">
        <v>4</v>
      </c>
      <c r="T290">
        <v>33</v>
      </c>
      <c r="U290">
        <v>37</v>
      </c>
    </row>
    <row r="291" spans="1:21" x14ac:dyDescent="0.3">
      <c r="A291">
        <v>290</v>
      </c>
      <c r="B291" t="s">
        <v>29</v>
      </c>
      <c r="C291" t="str">
        <f t="shared" si="17"/>
        <v>13-Jan-2011</v>
      </c>
      <c r="D291">
        <v>1</v>
      </c>
      <c r="E291">
        <v>0</v>
      </c>
      <c r="F291">
        <v>1</v>
      </c>
      <c r="G291" t="str">
        <f t="shared" si="16"/>
        <v>Jan</v>
      </c>
      <c r="H291">
        <v>12</v>
      </c>
      <c r="I291">
        <f t="shared" si="18"/>
        <v>1</v>
      </c>
      <c r="J291" t="s">
        <v>126</v>
      </c>
      <c r="K291">
        <v>4</v>
      </c>
      <c r="L291" t="str">
        <f t="shared" si="19"/>
        <v>Weekday</v>
      </c>
      <c r="M291">
        <v>1</v>
      </c>
      <c r="N291" t="str" cm="1">
        <f t="array" ref="N291">_xlfn.IFS(M291=1,"Sunny Day",M291=2,"Cloudy Day",M291=3,"Rainy Day",M291=4,"Heavy Rain")</f>
        <v>Sunny Day</v>
      </c>
      <c r="O291">
        <v>0.2</v>
      </c>
      <c r="P291">
        <v>0.16669999999999999</v>
      </c>
      <c r="Q291">
        <v>0.44</v>
      </c>
      <c r="R291">
        <v>0.41789999999999999</v>
      </c>
      <c r="S291">
        <v>3</v>
      </c>
      <c r="T291">
        <v>49</v>
      </c>
      <c r="U291">
        <v>52</v>
      </c>
    </row>
    <row r="292" spans="1:21" x14ac:dyDescent="0.3">
      <c r="A292">
        <v>291</v>
      </c>
      <c r="B292" t="s">
        <v>29</v>
      </c>
      <c r="C292" t="str">
        <f t="shared" si="17"/>
        <v>13-Jan-2011</v>
      </c>
      <c r="D292">
        <v>1</v>
      </c>
      <c r="E292">
        <v>0</v>
      </c>
      <c r="F292">
        <v>1</v>
      </c>
      <c r="G292" t="str">
        <f t="shared" si="16"/>
        <v>Jan</v>
      </c>
      <c r="H292">
        <v>13</v>
      </c>
      <c r="I292">
        <f t="shared" si="18"/>
        <v>1</v>
      </c>
      <c r="J292" t="s">
        <v>126</v>
      </c>
      <c r="K292">
        <v>4</v>
      </c>
      <c r="L292" t="str">
        <f t="shared" si="19"/>
        <v>Weekday</v>
      </c>
      <c r="M292">
        <v>1</v>
      </c>
      <c r="N292" t="str" cm="1">
        <f t="array" ref="N292">_xlfn.IFS(M292=1,"Sunny Day",M292=2,"Cloudy Day",M292=3,"Rainy Day",M292=4,"Heavy Rain")</f>
        <v>Sunny Day</v>
      </c>
      <c r="O292">
        <v>0.22</v>
      </c>
      <c r="P292">
        <v>0.19700000000000001</v>
      </c>
      <c r="Q292">
        <v>0.41</v>
      </c>
      <c r="R292">
        <v>0.44779999999999998</v>
      </c>
      <c r="S292">
        <v>2</v>
      </c>
      <c r="T292">
        <v>81</v>
      </c>
      <c r="U292">
        <v>83</v>
      </c>
    </row>
    <row r="293" spans="1:21" x14ac:dyDescent="0.3">
      <c r="A293">
        <v>292</v>
      </c>
      <c r="B293" t="s">
        <v>29</v>
      </c>
      <c r="C293" t="str">
        <f t="shared" si="17"/>
        <v>13-Jan-2011</v>
      </c>
      <c r="D293">
        <v>1</v>
      </c>
      <c r="E293">
        <v>0</v>
      </c>
      <c r="F293">
        <v>1</v>
      </c>
      <c r="G293" t="str">
        <f t="shared" si="16"/>
        <v>Jan</v>
      </c>
      <c r="H293">
        <v>14</v>
      </c>
      <c r="I293">
        <f t="shared" si="18"/>
        <v>1</v>
      </c>
      <c r="J293" t="s">
        <v>126</v>
      </c>
      <c r="K293">
        <v>4</v>
      </c>
      <c r="L293" t="str">
        <f t="shared" si="19"/>
        <v>Weekday</v>
      </c>
      <c r="M293">
        <v>1</v>
      </c>
      <c r="N293" t="str" cm="1">
        <f t="array" ref="N293">_xlfn.IFS(M293=1,"Sunny Day",M293=2,"Cloudy Day",M293=3,"Rainy Day",M293=4,"Heavy Rain")</f>
        <v>Sunny Day</v>
      </c>
      <c r="O293">
        <v>0.22</v>
      </c>
      <c r="P293">
        <v>0.19700000000000001</v>
      </c>
      <c r="Q293">
        <v>0.41</v>
      </c>
      <c r="R293">
        <v>0.3881</v>
      </c>
      <c r="S293">
        <v>3</v>
      </c>
      <c r="T293">
        <v>39</v>
      </c>
      <c r="U293">
        <v>42</v>
      </c>
    </row>
    <row r="294" spans="1:21" x14ac:dyDescent="0.3">
      <c r="A294">
        <v>293</v>
      </c>
      <c r="B294" t="s">
        <v>29</v>
      </c>
      <c r="C294" t="str">
        <f t="shared" si="17"/>
        <v>13-Jan-2011</v>
      </c>
      <c r="D294">
        <v>1</v>
      </c>
      <c r="E294">
        <v>0</v>
      </c>
      <c r="F294">
        <v>1</v>
      </c>
      <c r="G294" t="str">
        <f t="shared" si="16"/>
        <v>Jan</v>
      </c>
      <c r="H294">
        <v>15</v>
      </c>
      <c r="I294">
        <f t="shared" si="18"/>
        <v>1</v>
      </c>
      <c r="J294" t="s">
        <v>126</v>
      </c>
      <c r="K294">
        <v>4</v>
      </c>
      <c r="L294" t="str">
        <f t="shared" si="19"/>
        <v>Weekday</v>
      </c>
      <c r="M294">
        <v>1</v>
      </c>
      <c r="N294" t="str" cm="1">
        <f t="array" ref="N294">_xlfn.IFS(M294=1,"Sunny Day",M294=2,"Cloudy Day",M294=3,"Rainy Day",M294=4,"Heavy Rain")</f>
        <v>Sunny Day</v>
      </c>
      <c r="O294">
        <v>0.24</v>
      </c>
      <c r="P294">
        <v>0.21210000000000001</v>
      </c>
      <c r="Q294">
        <v>0.38</v>
      </c>
      <c r="R294">
        <v>0.29849999999999999</v>
      </c>
      <c r="S294">
        <v>5</v>
      </c>
      <c r="T294">
        <v>55</v>
      </c>
      <c r="U294">
        <v>60</v>
      </c>
    </row>
    <row r="295" spans="1:21" x14ac:dyDescent="0.3">
      <c r="A295">
        <v>294</v>
      </c>
      <c r="B295" t="s">
        <v>29</v>
      </c>
      <c r="C295" t="str">
        <f t="shared" si="17"/>
        <v>13-Jan-2011</v>
      </c>
      <c r="D295">
        <v>1</v>
      </c>
      <c r="E295">
        <v>0</v>
      </c>
      <c r="F295">
        <v>1</v>
      </c>
      <c r="G295" t="str">
        <f t="shared" si="16"/>
        <v>Jan</v>
      </c>
      <c r="H295">
        <v>16</v>
      </c>
      <c r="I295">
        <f t="shared" si="18"/>
        <v>1</v>
      </c>
      <c r="J295" t="s">
        <v>126</v>
      </c>
      <c r="K295">
        <v>4</v>
      </c>
      <c r="L295" t="str">
        <f t="shared" si="19"/>
        <v>Weekday</v>
      </c>
      <c r="M295">
        <v>1</v>
      </c>
      <c r="N295" t="str" cm="1">
        <f t="array" ref="N295">_xlfn.IFS(M295=1,"Sunny Day",M295=2,"Cloudy Day",M295=3,"Rainy Day",M295=4,"Heavy Rain")</f>
        <v>Sunny Day</v>
      </c>
      <c r="O295">
        <v>0.24</v>
      </c>
      <c r="P295">
        <v>0.21210000000000001</v>
      </c>
      <c r="Q295">
        <v>0.38</v>
      </c>
      <c r="R295">
        <v>0.35820000000000002</v>
      </c>
      <c r="S295">
        <v>2</v>
      </c>
      <c r="T295">
        <v>76</v>
      </c>
      <c r="U295">
        <v>78</v>
      </c>
    </row>
    <row r="296" spans="1:21" x14ac:dyDescent="0.3">
      <c r="A296">
        <v>295</v>
      </c>
      <c r="B296" t="s">
        <v>29</v>
      </c>
      <c r="C296" t="str">
        <f t="shared" si="17"/>
        <v>13-Jan-2011</v>
      </c>
      <c r="D296">
        <v>1</v>
      </c>
      <c r="E296">
        <v>0</v>
      </c>
      <c r="F296">
        <v>1</v>
      </c>
      <c r="G296" t="str">
        <f t="shared" si="16"/>
        <v>Jan</v>
      </c>
      <c r="H296">
        <v>17</v>
      </c>
      <c r="I296">
        <f t="shared" si="18"/>
        <v>1</v>
      </c>
      <c r="J296" t="s">
        <v>126</v>
      </c>
      <c r="K296">
        <v>4</v>
      </c>
      <c r="L296" t="str">
        <f t="shared" si="19"/>
        <v>Weekday</v>
      </c>
      <c r="M296">
        <v>1</v>
      </c>
      <c r="N296" t="str" cm="1">
        <f t="array" ref="N296">_xlfn.IFS(M296=1,"Sunny Day",M296=2,"Cloudy Day",M296=3,"Rainy Day",M296=4,"Heavy Rain")</f>
        <v>Sunny Day</v>
      </c>
      <c r="O296">
        <v>0.2</v>
      </c>
      <c r="P296">
        <v>0.18179999999999999</v>
      </c>
      <c r="Q296">
        <v>0.4</v>
      </c>
      <c r="R296">
        <v>0.28360000000000002</v>
      </c>
      <c r="S296">
        <v>4</v>
      </c>
      <c r="T296">
        <v>158</v>
      </c>
      <c r="U296">
        <v>162</v>
      </c>
    </row>
    <row r="297" spans="1:21" x14ac:dyDescent="0.3">
      <c r="A297">
        <v>296</v>
      </c>
      <c r="B297" t="s">
        <v>29</v>
      </c>
      <c r="C297" t="str">
        <f t="shared" si="17"/>
        <v>13-Jan-2011</v>
      </c>
      <c r="D297">
        <v>1</v>
      </c>
      <c r="E297">
        <v>0</v>
      </c>
      <c r="F297">
        <v>1</v>
      </c>
      <c r="G297" t="str">
        <f t="shared" si="16"/>
        <v>Jan</v>
      </c>
      <c r="H297">
        <v>18</v>
      </c>
      <c r="I297">
        <f t="shared" si="18"/>
        <v>1</v>
      </c>
      <c r="J297" t="s">
        <v>126</v>
      </c>
      <c r="K297">
        <v>4</v>
      </c>
      <c r="L297" t="str">
        <f t="shared" si="19"/>
        <v>Weekday</v>
      </c>
      <c r="M297">
        <v>1</v>
      </c>
      <c r="N297" t="str" cm="1">
        <f t="array" ref="N297">_xlfn.IFS(M297=1,"Sunny Day",M297=2,"Cloudy Day",M297=3,"Rainy Day",M297=4,"Heavy Rain")</f>
        <v>Sunny Day</v>
      </c>
      <c r="O297">
        <v>0.2</v>
      </c>
      <c r="P297">
        <v>0.18179999999999999</v>
      </c>
      <c r="Q297">
        <v>0.4</v>
      </c>
      <c r="R297">
        <v>0.32840000000000003</v>
      </c>
      <c r="S297">
        <v>3</v>
      </c>
      <c r="T297">
        <v>141</v>
      </c>
      <c r="U297">
        <v>144</v>
      </c>
    </row>
    <row r="298" spans="1:21" x14ac:dyDescent="0.3">
      <c r="A298">
        <v>297</v>
      </c>
      <c r="B298" t="s">
        <v>29</v>
      </c>
      <c r="C298" t="str">
        <f t="shared" si="17"/>
        <v>13-Jan-2011</v>
      </c>
      <c r="D298">
        <v>1</v>
      </c>
      <c r="E298">
        <v>0</v>
      </c>
      <c r="F298">
        <v>1</v>
      </c>
      <c r="G298" t="str">
        <f t="shared" si="16"/>
        <v>Jan</v>
      </c>
      <c r="H298">
        <v>19</v>
      </c>
      <c r="I298">
        <f t="shared" si="18"/>
        <v>1</v>
      </c>
      <c r="J298" t="s">
        <v>126</v>
      </c>
      <c r="K298">
        <v>4</v>
      </c>
      <c r="L298" t="str">
        <f t="shared" si="19"/>
        <v>Weekday</v>
      </c>
      <c r="M298">
        <v>1</v>
      </c>
      <c r="N298" t="str" cm="1">
        <f t="array" ref="N298">_xlfn.IFS(M298=1,"Sunny Day",M298=2,"Cloudy Day",M298=3,"Rainy Day",M298=4,"Heavy Rain")</f>
        <v>Sunny Day</v>
      </c>
      <c r="O298">
        <v>0.16</v>
      </c>
      <c r="P298">
        <v>0.1515</v>
      </c>
      <c r="Q298">
        <v>0.47</v>
      </c>
      <c r="R298">
        <v>0.25369999999999998</v>
      </c>
      <c r="S298">
        <v>1</v>
      </c>
      <c r="T298">
        <v>98</v>
      </c>
      <c r="U298">
        <v>99</v>
      </c>
    </row>
    <row r="299" spans="1:21" x14ac:dyDescent="0.3">
      <c r="A299">
        <v>298</v>
      </c>
      <c r="B299" t="s">
        <v>29</v>
      </c>
      <c r="C299" t="str">
        <f t="shared" si="17"/>
        <v>13-Jan-2011</v>
      </c>
      <c r="D299">
        <v>1</v>
      </c>
      <c r="E299">
        <v>0</v>
      </c>
      <c r="F299">
        <v>1</v>
      </c>
      <c r="G299" t="str">
        <f t="shared" si="16"/>
        <v>Jan</v>
      </c>
      <c r="H299">
        <v>20</v>
      </c>
      <c r="I299">
        <f t="shared" si="18"/>
        <v>1</v>
      </c>
      <c r="J299" t="s">
        <v>126</v>
      </c>
      <c r="K299">
        <v>4</v>
      </c>
      <c r="L299" t="str">
        <f t="shared" si="19"/>
        <v>Weekday</v>
      </c>
      <c r="M299">
        <v>1</v>
      </c>
      <c r="N299" t="str" cm="1">
        <f t="array" ref="N299">_xlfn.IFS(M299=1,"Sunny Day",M299=2,"Cloudy Day",M299=3,"Rainy Day",M299=4,"Heavy Rain")</f>
        <v>Sunny Day</v>
      </c>
      <c r="O299">
        <v>0.16</v>
      </c>
      <c r="P299">
        <v>0.1515</v>
      </c>
      <c r="Q299">
        <v>0.47</v>
      </c>
      <c r="R299">
        <v>0.22389999999999999</v>
      </c>
      <c r="S299">
        <v>0</v>
      </c>
      <c r="T299">
        <v>64</v>
      </c>
      <c r="U299">
        <v>64</v>
      </c>
    </row>
    <row r="300" spans="1:21" x14ac:dyDescent="0.3">
      <c r="A300">
        <v>299</v>
      </c>
      <c r="B300" t="s">
        <v>29</v>
      </c>
      <c r="C300" t="str">
        <f t="shared" si="17"/>
        <v>13-Jan-2011</v>
      </c>
      <c r="D300">
        <v>1</v>
      </c>
      <c r="E300">
        <v>0</v>
      </c>
      <c r="F300">
        <v>1</v>
      </c>
      <c r="G300" t="str">
        <f t="shared" si="16"/>
        <v>Jan</v>
      </c>
      <c r="H300">
        <v>21</v>
      </c>
      <c r="I300">
        <f t="shared" si="18"/>
        <v>1</v>
      </c>
      <c r="J300" t="s">
        <v>126</v>
      </c>
      <c r="K300">
        <v>4</v>
      </c>
      <c r="L300" t="str">
        <f t="shared" si="19"/>
        <v>Weekday</v>
      </c>
      <c r="M300">
        <v>1</v>
      </c>
      <c r="N300" t="str" cm="1">
        <f t="array" ref="N300">_xlfn.IFS(M300=1,"Sunny Day",M300=2,"Cloudy Day",M300=3,"Rainy Day",M300=4,"Heavy Rain")</f>
        <v>Sunny Day</v>
      </c>
      <c r="O300">
        <v>0.14000000000000001</v>
      </c>
      <c r="P300">
        <v>0.1212</v>
      </c>
      <c r="Q300">
        <v>0.46</v>
      </c>
      <c r="R300">
        <v>0.29849999999999999</v>
      </c>
      <c r="S300">
        <v>0</v>
      </c>
      <c r="T300">
        <v>40</v>
      </c>
      <c r="U300">
        <v>40</v>
      </c>
    </row>
    <row r="301" spans="1:21" x14ac:dyDescent="0.3">
      <c r="A301">
        <v>300</v>
      </c>
      <c r="B301" t="s">
        <v>29</v>
      </c>
      <c r="C301" t="str">
        <f t="shared" si="17"/>
        <v>13-Jan-2011</v>
      </c>
      <c r="D301">
        <v>1</v>
      </c>
      <c r="E301">
        <v>0</v>
      </c>
      <c r="F301">
        <v>1</v>
      </c>
      <c r="G301" t="str">
        <f t="shared" si="16"/>
        <v>Jan</v>
      </c>
      <c r="H301">
        <v>22</v>
      </c>
      <c r="I301">
        <f t="shared" si="18"/>
        <v>1</v>
      </c>
      <c r="J301" t="s">
        <v>126</v>
      </c>
      <c r="K301">
        <v>4</v>
      </c>
      <c r="L301" t="str">
        <f t="shared" si="19"/>
        <v>Weekday</v>
      </c>
      <c r="M301">
        <v>1</v>
      </c>
      <c r="N301" t="str" cm="1">
        <f t="array" ref="N301">_xlfn.IFS(M301=1,"Sunny Day",M301=2,"Cloudy Day",M301=3,"Rainy Day",M301=4,"Heavy Rain")</f>
        <v>Sunny Day</v>
      </c>
      <c r="O301">
        <v>0.14000000000000001</v>
      </c>
      <c r="P301">
        <v>0.1212</v>
      </c>
      <c r="Q301">
        <v>0.46</v>
      </c>
      <c r="R301">
        <v>0.32840000000000003</v>
      </c>
      <c r="S301">
        <v>0</v>
      </c>
      <c r="T301">
        <v>30</v>
      </c>
      <c r="U301">
        <v>30</v>
      </c>
    </row>
    <row r="302" spans="1:21" x14ac:dyDescent="0.3">
      <c r="A302">
        <v>301</v>
      </c>
      <c r="B302" t="s">
        <v>29</v>
      </c>
      <c r="C302" t="str">
        <f t="shared" si="17"/>
        <v>13-Jan-2011</v>
      </c>
      <c r="D302">
        <v>1</v>
      </c>
      <c r="E302">
        <v>0</v>
      </c>
      <c r="F302">
        <v>1</v>
      </c>
      <c r="G302" t="str">
        <f t="shared" si="16"/>
        <v>Jan</v>
      </c>
      <c r="H302">
        <v>23</v>
      </c>
      <c r="I302">
        <f t="shared" si="18"/>
        <v>1</v>
      </c>
      <c r="J302" t="s">
        <v>126</v>
      </c>
      <c r="K302">
        <v>4</v>
      </c>
      <c r="L302" t="str">
        <f t="shared" si="19"/>
        <v>Weekday</v>
      </c>
      <c r="M302">
        <v>1</v>
      </c>
      <c r="N302" t="str" cm="1">
        <f t="array" ref="N302">_xlfn.IFS(M302=1,"Sunny Day",M302=2,"Cloudy Day",M302=3,"Rainy Day",M302=4,"Heavy Rain")</f>
        <v>Sunny Day</v>
      </c>
      <c r="O302">
        <v>0.12</v>
      </c>
      <c r="P302">
        <v>0.13639999999999999</v>
      </c>
      <c r="Q302">
        <v>0.5</v>
      </c>
      <c r="R302">
        <v>0.19400000000000001</v>
      </c>
      <c r="S302">
        <v>1</v>
      </c>
      <c r="T302">
        <v>14</v>
      </c>
      <c r="U302">
        <v>15</v>
      </c>
    </row>
    <row r="303" spans="1:21" x14ac:dyDescent="0.3">
      <c r="A303">
        <v>302</v>
      </c>
      <c r="B303" t="s">
        <v>31</v>
      </c>
      <c r="C303" t="str">
        <f t="shared" si="17"/>
        <v>14-Jan-2011</v>
      </c>
      <c r="D303">
        <v>1</v>
      </c>
      <c r="E303">
        <v>0</v>
      </c>
      <c r="F303">
        <v>1</v>
      </c>
      <c r="G303" t="str">
        <f t="shared" si="16"/>
        <v>Jan</v>
      </c>
      <c r="H303">
        <v>0</v>
      </c>
      <c r="I303">
        <f t="shared" si="18"/>
        <v>0</v>
      </c>
      <c r="J303" t="s">
        <v>126</v>
      </c>
      <c r="K303">
        <v>5</v>
      </c>
      <c r="L303" t="str">
        <f t="shared" si="19"/>
        <v>Weekday</v>
      </c>
      <c r="M303">
        <v>1</v>
      </c>
      <c r="N303" t="str" cm="1">
        <f t="array" ref="N303">_xlfn.IFS(M303=1,"Sunny Day",M303=2,"Cloudy Day",M303=3,"Rainy Day",M303=4,"Heavy Rain")</f>
        <v>Sunny Day</v>
      </c>
      <c r="O303">
        <v>0.12</v>
      </c>
      <c r="P303">
        <v>0.13639999999999999</v>
      </c>
      <c r="Q303">
        <v>0.5</v>
      </c>
      <c r="R303">
        <v>0.19400000000000001</v>
      </c>
      <c r="S303">
        <v>0</v>
      </c>
      <c r="T303">
        <v>14</v>
      </c>
      <c r="U303">
        <v>14</v>
      </c>
    </row>
    <row r="304" spans="1:21" x14ac:dyDescent="0.3">
      <c r="A304">
        <v>303</v>
      </c>
      <c r="B304" t="s">
        <v>31</v>
      </c>
      <c r="C304" t="str">
        <f t="shared" si="17"/>
        <v>14-Jan-2011</v>
      </c>
      <c r="D304">
        <v>1</v>
      </c>
      <c r="E304">
        <v>0</v>
      </c>
      <c r="F304">
        <v>1</v>
      </c>
      <c r="G304" t="str">
        <f t="shared" si="16"/>
        <v>Jan</v>
      </c>
      <c r="H304">
        <v>1</v>
      </c>
      <c r="I304">
        <f t="shared" si="18"/>
        <v>0</v>
      </c>
      <c r="J304" t="s">
        <v>126</v>
      </c>
      <c r="K304">
        <v>5</v>
      </c>
      <c r="L304" t="str">
        <f t="shared" si="19"/>
        <v>Weekday</v>
      </c>
      <c r="M304">
        <v>1</v>
      </c>
      <c r="N304" t="str" cm="1">
        <f t="array" ref="N304">_xlfn.IFS(M304=1,"Sunny Day",M304=2,"Cloudy Day",M304=3,"Rainy Day",M304=4,"Heavy Rain")</f>
        <v>Sunny Day</v>
      </c>
      <c r="O304">
        <v>0.1</v>
      </c>
      <c r="P304">
        <v>0.1212</v>
      </c>
      <c r="Q304">
        <v>0.54</v>
      </c>
      <c r="R304">
        <v>0.16420000000000001</v>
      </c>
      <c r="S304">
        <v>0</v>
      </c>
      <c r="T304">
        <v>5</v>
      </c>
      <c r="U304">
        <v>5</v>
      </c>
    </row>
    <row r="305" spans="1:21" x14ac:dyDescent="0.3">
      <c r="A305">
        <v>304</v>
      </c>
      <c r="B305" t="s">
        <v>31</v>
      </c>
      <c r="C305" t="str">
        <f t="shared" si="17"/>
        <v>14-Jan-2011</v>
      </c>
      <c r="D305">
        <v>1</v>
      </c>
      <c r="E305">
        <v>0</v>
      </c>
      <c r="F305">
        <v>1</v>
      </c>
      <c r="G305" t="str">
        <f t="shared" si="16"/>
        <v>Jan</v>
      </c>
      <c r="H305">
        <v>2</v>
      </c>
      <c r="I305">
        <f t="shared" si="18"/>
        <v>0</v>
      </c>
      <c r="J305" t="s">
        <v>126</v>
      </c>
      <c r="K305">
        <v>5</v>
      </c>
      <c r="L305" t="str">
        <f t="shared" si="19"/>
        <v>Weekday</v>
      </c>
      <c r="M305">
        <v>1</v>
      </c>
      <c r="N305" t="str" cm="1">
        <f t="array" ref="N305">_xlfn.IFS(M305=1,"Sunny Day",M305=2,"Cloudy Day",M305=3,"Rainy Day",M305=4,"Heavy Rain")</f>
        <v>Sunny Day</v>
      </c>
      <c r="O305">
        <v>0.1</v>
      </c>
      <c r="P305">
        <v>0.1212</v>
      </c>
      <c r="Q305">
        <v>0.54</v>
      </c>
      <c r="R305">
        <v>0.1343</v>
      </c>
      <c r="S305">
        <v>0</v>
      </c>
      <c r="T305">
        <v>1</v>
      </c>
      <c r="U305">
        <v>1</v>
      </c>
    </row>
    <row r="306" spans="1:21" x14ac:dyDescent="0.3">
      <c r="A306">
        <v>305</v>
      </c>
      <c r="B306" t="s">
        <v>31</v>
      </c>
      <c r="C306" t="str">
        <f t="shared" si="17"/>
        <v>14-Jan-2011</v>
      </c>
      <c r="D306">
        <v>1</v>
      </c>
      <c r="E306">
        <v>0</v>
      </c>
      <c r="F306">
        <v>1</v>
      </c>
      <c r="G306" t="str">
        <f t="shared" si="16"/>
        <v>Jan</v>
      </c>
      <c r="H306">
        <v>3</v>
      </c>
      <c r="I306">
        <f t="shared" si="18"/>
        <v>0</v>
      </c>
      <c r="J306" t="s">
        <v>126</v>
      </c>
      <c r="K306">
        <v>5</v>
      </c>
      <c r="L306" t="str">
        <f t="shared" si="19"/>
        <v>Weekday</v>
      </c>
      <c r="M306">
        <v>1</v>
      </c>
      <c r="N306" t="str" cm="1">
        <f t="array" ref="N306">_xlfn.IFS(M306=1,"Sunny Day",M306=2,"Cloudy Day",M306=3,"Rainy Day",M306=4,"Heavy Rain")</f>
        <v>Sunny Day</v>
      </c>
      <c r="O306">
        <v>0.1</v>
      </c>
      <c r="P306">
        <v>0.13639999999999999</v>
      </c>
      <c r="Q306">
        <v>0.54</v>
      </c>
      <c r="R306">
        <v>0.1045</v>
      </c>
      <c r="S306">
        <v>0</v>
      </c>
      <c r="T306">
        <v>1</v>
      </c>
      <c r="U306">
        <v>1</v>
      </c>
    </row>
    <row r="307" spans="1:21" x14ac:dyDescent="0.3">
      <c r="A307">
        <v>306</v>
      </c>
      <c r="B307" t="s">
        <v>31</v>
      </c>
      <c r="C307" t="str">
        <f t="shared" si="17"/>
        <v>14-Jan-2011</v>
      </c>
      <c r="D307">
        <v>1</v>
      </c>
      <c r="E307">
        <v>0</v>
      </c>
      <c r="F307">
        <v>1</v>
      </c>
      <c r="G307" t="str">
        <f t="shared" si="16"/>
        <v>Jan</v>
      </c>
      <c r="H307">
        <v>5</v>
      </c>
      <c r="I307">
        <f t="shared" si="18"/>
        <v>0</v>
      </c>
      <c r="J307" t="s">
        <v>126</v>
      </c>
      <c r="K307">
        <v>5</v>
      </c>
      <c r="L307" t="str">
        <f t="shared" si="19"/>
        <v>Weekday</v>
      </c>
      <c r="M307">
        <v>1</v>
      </c>
      <c r="N307" t="str" cm="1">
        <f t="array" ref="N307">_xlfn.IFS(M307=1,"Sunny Day",M307=2,"Cloudy Day",M307=3,"Rainy Day",M307=4,"Heavy Rain")</f>
        <v>Sunny Day</v>
      </c>
      <c r="O307">
        <v>0.1</v>
      </c>
      <c r="P307">
        <v>0.13639999999999999</v>
      </c>
      <c r="Q307">
        <v>0.54</v>
      </c>
      <c r="R307">
        <v>8.9599999999999999E-2</v>
      </c>
      <c r="S307">
        <v>0</v>
      </c>
      <c r="T307">
        <v>8</v>
      </c>
      <c r="U307">
        <v>8</v>
      </c>
    </row>
    <row r="308" spans="1:21" x14ac:dyDescent="0.3">
      <c r="A308">
        <v>307</v>
      </c>
      <c r="B308" t="s">
        <v>31</v>
      </c>
      <c r="C308" t="str">
        <f t="shared" si="17"/>
        <v>14-Jan-2011</v>
      </c>
      <c r="D308">
        <v>1</v>
      </c>
      <c r="E308">
        <v>0</v>
      </c>
      <c r="F308">
        <v>1</v>
      </c>
      <c r="G308" t="str">
        <f t="shared" si="16"/>
        <v>Jan</v>
      </c>
      <c r="H308">
        <v>6</v>
      </c>
      <c r="I308">
        <f t="shared" si="18"/>
        <v>0</v>
      </c>
      <c r="J308" t="s">
        <v>126</v>
      </c>
      <c r="K308">
        <v>5</v>
      </c>
      <c r="L308" t="str">
        <f t="shared" si="19"/>
        <v>Weekday</v>
      </c>
      <c r="M308">
        <v>1</v>
      </c>
      <c r="N308" t="str" cm="1">
        <f t="array" ref="N308">_xlfn.IFS(M308=1,"Sunny Day",M308=2,"Cloudy Day",M308=3,"Rainy Day",M308=4,"Heavy Rain")</f>
        <v>Sunny Day</v>
      </c>
      <c r="O308">
        <v>0.1</v>
      </c>
      <c r="P308">
        <v>0.18179999999999999</v>
      </c>
      <c r="Q308">
        <v>0.54</v>
      </c>
      <c r="R308">
        <v>0</v>
      </c>
      <c r="S308">
        <v>0</v>
      </c>
      <c r="T308">
        <v>17</v>
      </c>
      <c r="U308">
        <v>17</v>
      </c>
    </row>
    <row r="309" spans="1:21" x14ac:dyDescent="0.3">
      <c r="A309">
        <v>308</v>
      </c>
      <c r="B309" t="s">
        <v>31</v>
      </c>
      <c r="C309" t="str">
        <f t="shared" si="17"/>
        <v>14-Jan-2011</v>
      </c>
      <c r="D309">
        <v>1</v>
      </c>
      <c r="E309">
        <v>0</v>
      </c>
      <c r="F309">
        <v>1</v>
      </c>
      <c r="G309" t="str">
        <f t="shared" si="16"/>
        <v>Jan</v>
      </c>
      <c r="H309">
        <v>7</v>
      </c>
      <c r="I309">
        <f t="shared" si="18"/>
        <v>0</v>
      </c>
      <c r="J309" t="s">
        <v>126</v>
      </c>
      <c r="K309">
        <v>5</v>
      </c>
      <c r="L309" t="str">
        <f t="shared" si="19"/>
        <v>Weekday</v>
      </c>
      <c r="M309">
        <v>1</v>
      </c>
      <c r="N309" t="str" cm="1">
        <f t="array" ref="N309">_xlfn.IFS(M309=1,"Sunny Day",M309=2,"Cloudy Day",M309=3,"Rainy Day",M309=4,"Heavy Rain")</f>
        <v>Sunny Day</v>
      </c>
      <c r="O309">
        <v>0.1</v>
      </c>
      <c r="P309">
        <v>0.1212</v>
      </c>
      <c r="Q309">
        <v>0.74</v>
      </c>
      <c r="R309">
        <v>0.16420000000000001</v>
      </c>
      <c r="S309">
        <v>0</v>
      </c>
      <c r="T309">
        <v>70</v>
      </c>
      <c r="U309">
        <v>70</v>
      </c>
    </row>
    <row r="310" spans="1:21" x14ac:dyDescent="0.3">
      <c r="A310">
        <v>309</v>
      </c>
      <c r="B310" t="s">
        <v>31</v>
      </c>
      <c r="C310" t="str">
        <f t="shared" si="17"/>
        <v>14-Jan-2011</v>
      </c>
      <c r="D310">
        <v>1</v>
      </c>
      <c r="E310">
        <v>0</v>
      </c>
      <c r="F310">
        <v>1</v>
      </c>
      <c r="G310" t="str">
        <f t="shared" si="16"/>
        <v>Jan</v>
      </c>
      <c r="H310">
        <v>8</v>
      </c>
      <c r="I310">
        <f t="shared" si="18"/>
        <v>0</v>
      </c>
      <c r="J310" t="s">
        <v>126</v>
      </c>
      <c r="K310">
        <v>5</v>
      </c>
      <c r="L310" t="str">
        <f t="shared" si="19"/>
        <v>Weekday</v>
      </c>
      <c r="M310">
        <v>1</v>
      </c>
      <c r="N310" t="str" cm="1">
        <f t="array" ref="N310">_xlfn.IFS(M310=1,"Sunny Day",M310=2,"Cloudy Day",M310=3,"Rainy Day",M310=4,"Heavy Rain")</f>
        <v>Sunny Day</v>
      </c>
      <c r="O310">
        <v>0.12</v>
      </c>
      <c r="P310">
        <v>0.16669999999999999</v>
      </c>
      <c r="Q310">
        <v>0.68</v>
      </c>
      <c r="R310">
        <v>0</v>
      </c>
      <c r="S310">
        <v>2</v>
      </c>
      <c r="T310">
        <v>156</v>
      </c>
      <c r="U310">
        <v>158</v>
      </c>
    </row>
    <row r="311" spans="1:21" x14ac:dyDescent="0.3">
      <c r="A311">
        <v>310</v>
      </c>
      <c r="B311" t="s">
        <v>31</v>
      </c>
      <c r="C311" t="str">
        <f t="shared" si="17"/>
        <v>14-Jan-2011</v>
      </c>
      <c r="D311">
        <v>1</v>
      </c>
      <c r="E311">
        <v>0</v>
      </c>
      <c r="F311">
        <v>1</v>
      </c>
      <c r="G311" t="str">
        <f t="shared" si="16"/>
        <v>Jan</v>
      </c>
      <c r="H311">
        <v>9</v>
      </c>
      <c r="I311">
        <f t="shared" si="18"/>
        <v>0</v>
      </c>
      <c r="J311" t="s">
        <v>126</v>
      </c>
      <c r="K311">
        <v>5</v>
      </c>
      <c r="L311" t="str">
        <f t="shared" si="19"/>
        <v>Weekday</v>
      </c>
      <c r="M311">
        <v>1</v>
      </c>
      <c r="N311" t="str" cm="1">
        <f t="array" ref="N311">_xlfn.IFS(M311=1,"Sunny Day",M311=2,"Cloudy Day",M311=3,"Rainy Day",M311=4,"Heavy Rain")</f>
        <v>Sunny Day</v>
      </c>
      <c r="O311">
        <v>0.14000000000000001</v>
      </c>
      <c r="P311">
        <v>0.1515</v>
      </c>
      <c r="Q311">
        <v>0.69</v>
      </c>
      <c r="R311">
        <v>0.1343</v>
      </c>
      <c r="S311">
        <v>0</v>
      </c>
      <c r="T311">
        <v>117</v>
      </c>
      <c r="U311">
        <v>117</v>
      </c>
    </row>
    <row r="312" spans="1:21" x14ac:dyDescent="0.3">
      <c r="A312">
        <v>311</v>
      </c>
      <c r="B312" t="s">
        <v>31</v>
      </c>
      <c r="C312" t="str">
        <f t="shared" si="17"/>
        <v>14-Jan-2011</v>
      </c>
      <c r="D312">
        <v>1</v>
      </c>
      <c r="E312">
        <v>0</v>
      </c>
      <c r="F312">
        <v>1</v>
      </c>
      <c r="G312" t="str">
        <f t="shared" si="16"/>
        <v>Jan</v>
      </c>
      <c r="H312">
        <v>10</v>
      </c>
      <c r="I312">
        <f t="shared" si="18"/>
        <v>0</v>
      </c>
      <c r="J312" t="s">
        <v>126</v>
      </c>
      <c r="K312">
        <v>5</v>
      </c>
      <c r="L312" t="str">
        <f t="shared" si="19"/>
        <v>Weekday</v>
      </c>
      <c r="M312">
        <v>1</v>
      </c>
      <c r="N312" t="str" cm="1">
        <f t="array" ref="N312">_xlfn.IFS(M312=1,"Sunny Day",M312=2,"Cloudy Day",M312=3,"Rainy Day",M312=4,"Heavy Rain")</f>
        <v>Sunny Day</v>
      </c>
      <c r="O312">
        <v>0.18</v>
      </c>
      <c r="P312">
        <v>0.18179999999999999</v>
      </c>
      <c r="Q312">
        <v>0.55000000000000004</v>
      </c>
      <c r="R312">
        <v>0.19400000000000001</v>
      </c>
      <c r="S312">
        <v>4</v>
      </c>
      <c r="T312">
        <v>40</v>
      </c>
      <c r="U312">
        <v>44</v>
      </c>
    </row>
    <row r="313" spans="1:21" x14ac:dyDescent="0.3">
      <c r="A313">
        <v>312</v>
      </c>
      <c r="B313" t="s">
        <v>31</v>
      </c>
      <c r="C313" t="str">
        <f t="shared" si="17"/>
        <v>14-Jan-2011</v>
      </c>
      <c r="D313">
        <v>1</v>
      </c>
      <c r="E313">
        <v>0</v>
      </c>
      <c r="F313">
        <v>1</v>
      </c>
      <c r="G313" t="str">
        <f t="shared" si="16"/>
        <v>Jan</v>
      </c>
      <c r="H313">
        <v>11</v>
      </c>
      <c r="I313">
        <f t="shared" si="18"/>
        <v>1</v>
      </c>
      <c r="J313" t="s">
        <v>126</v>
      </c>
      <c r="K313">
        <v>5</v>
      </c>
      <c r="L313" t="str">
        <f t="shared" si="19"/>
        <v>Weekday</v>
      </c>
      <c r="M313">
        <v>1</v>
      </c>
      <c r="N313" t="str" cm="1">
        <f t="array" ref="N313">_xlfn.IFS(M313=1,"Sunny Day",M313=2,"Cloudy Day",M313=3,"Rainy Day",M313=4,"Heavy Rain")</f>
        <v>Sunny Day</v>
      </c>
      <c r="O313">
        <v>0.18</v>
      </c>
      <c r="P313">
        <v>0.16669999999999999</v>
      </c>
      <c r="Q313">
        <v>0.51</v>
      </c>
      <c r="R313">
        <v>0.28360000000000002</v>
      </c>
      <c r="S313">
        <v>6</v>
      </c>
      <c r="T313">
        <v>47</v>
      </c>
      <c r="U313">
        <v>53</v>
      </c>
    </row>
    <row r="314" spans="1:21" x14ac:dyDescent="0.3">
      <c r="A314">
        <v>313</v>
      </c>
      <c r="B314" t="s">
        <v>31</v>
      </c>
      <c r="C314" t="str">
        <f t="shared" si="17"/>
        <v>14-Jan-2011</v>
      </c>
      <c r="D314">
        <v>1</v>
      </c>
      <c r="E314">
        <v>0</v>
      </c>
      <c r="F314">
        <v>1</v>
      </c>
      <c r="G314" t="str">
        <f t="shared" si="16"/>
        <v>Jan</v>
      </c>
      <c r="H314">
        <v>12</v>
      </c>
      <c r="I314">
        <f t="shared" si="18"/>
        <v>1</v>
      </c>
      <c r="J314" t="s">
        <v>126</v>
      </c>
      <c r="K314">
        <v>5</v>
      </c>
      <c r="L314" t="str">
        <f t="shared" si="19"/>
        <v>Weekday</v>
      </c>
      <c r="M314">
        <v>1</v>
      </c>
      <c r="N314" t="str" cm="1">
        <f t="array" ref="N314">_xlfn.IFS(M314=1,"Sunny Day",M314=2,"Cloudy Day",M314=3,"Rainy Day",M314=4,"Heavy Rain")</f>
        <v>Sunny Day</v>
      </c>
      <c r="O314">
        <v>0.2</v>
      </c>
      <c r="P314">
        <v>0.19700000000000001</v>
      </c>
      <c r="Q314">
        <v>0.44</v>
      </c>
      <c r="R314">
        <v>0.25369999999999998</v>
      </c>
      <c r="S314">
        <v>2</v>
      </c>
      <c r="T314">
        <v>59</v>
      </c>
      <c r="U314">
        <v>61</v>
      </c>
    </row>
    <row r="315" spans="1:21" x14ac:dyDescent="0.3">
      <c r="A315">
        <v>314</v>
      </c>
      <c r="B315" t="s">
        <v>31</v>
      </c>
      <c r="C315" t="str">
        <f t="shared" si="17"/>
        <v>14-Jan-2011</v>
      </c>
      <c r="D315">
        <v>1</v>
      </c>
      <c r="E315">
        <v>0</v>
      </c>
      <c r="F315">
        <v>1</v>
      </c>
      <c r="G315" t="str">
        <f t="shared" si="16"/>
        <v>Jan</v>
      </c>
      <c r="H315">
        <v>13</v>
      </c>
      <c r="I315">
        <f t="shared" si="18"/>
        <v>1</v>
      </c>
      <c r="J315" t="s">
        <v>126</v>
      </c>
      <c r="K315">
        <v>5</v>
      </c>
      <c r="L315" t="str">
        <f t="shared" si="19"/>
        <v>Weekday</v>
      </c>
      <c r="M315">
        <v>1</v>
      </c>
      <c r="N315" t="str" cm="1">
        <f t="array" ref="N315">_xlfn.IFS(M315=1,"Sunny Day",M315=2,"Cloudy Day",M315=3,"Rainy Day",M315=4,"Heavy Rain")</f>
        <v>Sunny Day</v>
      </c>
      <c r="O315">
        <v>0.22</v>
      </c>
      <c r="P315">
        <v>0.19700000000000001</v>
      </c>
      <c r="Q315">
        <v>0.37</v>
      </c>
      <c r="R315">
        <v>0.3881</v>
      </c>
      <c r="S315">
        <v>4</v>
      </c>
      <c r="T315">
        <v>73</v>
      </c>
      <c r="U315">
        <v>77</v>
      </c>
    </row>
    <row r="316" spans="1:21" x14ac:dyDescent="0.3">
      <c r="A316">
        <v>315</v>
      </c>
      <c r="B316" t="s">
        <v>31</v>
      </c>
      <c r="C316" t="str">
        <f t="shared" si="17"/>
        <v>14-Jan-2011</v>
      </c>
      <c r="D316">
        <v>1</v>
      </c>
      <c r="E316">
        <v>0</v>
      </c>
      <c r="F316">
        <v>1</v>
      </c>
      <c r="G316" t="str">
        <f t="shared" si="16"/>
        <v>Jan</v>
      </c>
      <c r="H316">
        <v>14</v>
      </c>
      <c r="I316">
        <f t="shared" si="18"/>
        <v>1</v>
      </c>
      <c r="J316" t="s">
        <v>126</v>
      </c>
      <c r="K316">
        <v>5</v>
      </c>
      <c r="L316" t="str">
        <f t="shared" si="19"/>
        <v>Weekday</v>
      </c>
      <c r="M316">
        <v>1</v>
      </c>
      <c r="N316" t="str" cm="1">
        <f t="array" ref="N316">_xlfn.IFS(M316=1,"Sunny Day",M316=2,"Cloudy Day",M316=3,"Rainy Day",M316=4,"Heavy Rain")</f>
        <v>Sunny Day</v>
      </c>
      <c r="O316">
        <v>0.22</v>
      </c>
      <c r="P316">
        <v>0.21210000000000001</v>
      </c>
      <c r="Q316">
        <v>0.41</v>
      </c>
      <c r="R316">
        <v>0.28360000000000002</v>
      </c>
      <c r="S316">
        <v>5</v>
      </c>
      <c r="T316">
        <v>59</v>
      </c>
      <c r="U316">
        <v>64</v>
      </c>
    </row>
    <row r="317" spans="1:21" x14ac:dyDescent="0.3">
      <c r="A317">
        <v>316</v>
      </c>
      <c r="B317" t="s">
        <v>31</v>
      </c>
      <c r="C317" t="str">
        <f t="shared" si="17"/>
        <v>14-Jan-2011</v>
      </c>
      <c r="D317">
        <v>1</v>
      </c>
      <c r="E317">
        <v>0</v>
      </c>
      <c r="F317">
        <v>1</v>
      </c>
      <c r="G317" t="str">
        <f t="shared" si="16"/>
        <v>Jan</v>
      </c>
      <c r="H317">
        <v>15</v>
      </c>
      <c r="I317">
        <f t="shared" si="18"/>
        <v>1</v>
      </c>
      <c r="J317" t="s">
        <v>126</v>
      </c>
      <c r="K317">
        <v>5</v>
      </c>
      <c r="L317" t="str">
        <f t="shared" si="19"/>
        <v>Weekday</v>
      </c>
      <c r="M317">
        <v>1</v>
      </c>
      <c r="N317" t="str" cm="1">
        <f t="array" ref="N317">_xlfn.IFS(M317=1,"Sunny Day",M317=2,"Cloudy Day",M317=3,"Rainy Day",M317=4,"Heavy Rain")</f>
        <v>Sunny Day</v>
      </c>
      <c r="O317">
        <v>0.24</v>
      </c>
      <c r="P317">
        <v>0.2424</v>
      </c>
      <c r="Q317">
        <v>0.38</v>
      </c>
      <c r="R317">
        <v>0.16420000000000001</v>
      </c>
      <c r="S317">
        <v>9</v>
      </c>
      <c r="T317">
        <v>59</v>
      </c>
      <c r="U317">
        <v>68</v>
      </c>
    </row>
    <row r="318" spans="1:21" x14ac:dyDescent="0.3">
      <c r="A318">
        <v>317</v>
      </c>
      <c r="B318" t="s">
        <v>31</v>
      </c>
      <c r="C318" t="str">
        <f t="shared" si="17"/>
        <v>14-Jan-2011</v>
      </c>
      <c r="D318">
        <v>1</v>
      </c>
      <c r="E318">
        <v>0</v>
      </c>
      <c r="F318">
        <v>1</v>
      </c>
      <c r="G318" t="str">
        <f t="shared" si="16"/>
        <v>Jan</v>
      </c>
      <c r="H318">
        <v>16</v>
      </c>
      <c r="I318">
        <f t="shared" si="18"/>
        <v>1</v>
      </c>
      <c r="J318" t="s">
        <v>126</v>
      </c>
      <c r="K318">
        <v>5</v>
      </c>
      <c r="L318" t="str">
        <f t="shared" si="19"/>
        <v>Weekday</v>
      </c>
      <c r="M318">
        <v>1</v>
      </c>
      <c r="N318" t="str" cm="1">
        <f t="array" ref="N318">_xlfn.IFS(M318=1,"Sunny Day",M318=2,"Cloudy Day",M318=3,"Rainy Day",M318=4,"Heavy Rain")</f>
        <v>Sunny Day</v>
      </c>
      <c r="O318">
        <v>0.22</v>
      </c>
      <c r="P318">
        <v>0.2424</v>
      </c>
      <c r="Q318">
        <v>0.41</v>
      </c>
      <c r="R318">
        <v>0.1045</v>
      </c>
      <c r="S318">
        <v>3</v>
      </c>
      <c r="T318">
        <v>87</v>
      </c>
      <c r="U318">
        <v>90</v>
      </c>
    </row>
    <row r="319" spans="1:21" x14ac:dyDescent="0.3">
      <c r="A319">
        <v>318</v>
      </c>
      <c r="B319" t="s">
        <v>31</v>
      </c>
      <c r="C319" t="str">
        <f t="shared" si="17"/>
        <v>14-Jan-2011</v>
      </c>
      <c r="D319">
        <v>1</v>
      </c>
      <c r="E319">
        <v>0</v>
      </c>
      <c r="F319">
        <v>1</v>
      </c>
      <c r="G319" t="str">
        <f t="shared" si="16"/>
        <v>Jan</v>
      </c>
      <c r="H319">
        <v>17</v>
      </c>
      <c r="I319">
        <f t="shared" si="18"/>
        <v>1</v>
      </c>
      <c r="J319" t="s">
        <v>126</v>
      </c>
      <c r="K319">
        <v>5</v>
      </c>
      <c r="L319" t="str">
        <f t="shared" si="19"/>
        <v>Weekday</v>
      </c>
      <c r="M319">
        <v>1</v>
      </c>
      <c r="N319" t="str" cm="1">
        <f t="array" ref="N319">_xlfn.IFS(M319=1,"Sunny Day",M319=2,"Cloudy Day",M319=3,"Rainy Day",M319=4,"Heavy Rain")</f>
        <v>Sunny Day</v>
      </c>
      <c r="O319">
        <v>0.22</v>
      </c>
      <c r="P319">
        <v>0.2273</v>
      </c>
      <c r="Q319">
        <v>0.41</v>
      </c>
      <c r="R319">
        <v>0.16420000000000001</v>
      </c>
      <c r="S319">
        <v>4</v>
      </c>
      <c r="T319">
        <v>155</v>
      </c>
      <c r="U319">
        <v>159</v>
      </c>
    </row>
    <row r="320" spans="1:21" x14ac:dyDescent="0.3">
      <c r="A320">
        <v>319</v>
      </c>
      <c r="B320" t="s">
        <v>31</v>
      </c>
      <c r="C320" t="str">
        <f t="shared" si="17"/>
        <v>14-Jan-2011</v>
      </c>
      <c r="D320">
        <v>1</v>
      </c>
      <c r="E320">
        <v>0</v>
      </c>
      <c r="F320">
        <v>1</v>
      </c>
      <c r="G320" t="str">
        <f t="shared" si="16"/>
        <v>Jan</v>
      </c>
      <c r="H320">
        <v>18</v>
      </c>
      <c r="I320">
        <f t="shared" si="18"/>
        <v>1</v>
      </c>
      <c r="J320" t="s">
        <v>126</v>
      </c>
      <c r="K320">
        <v>5</v>
      </c>
      <c r="L320" t="str">
        <f t="shared" si="19"/>
        <v>Weekday</v>
      </c>
      <c r="M320">
        <v>1</v>
      </c>
      <c r="N320" t="str" cm="1">
        <f t="array" ref="N320">_xlfn.IFS(M320=1,"Sunny Day",M320=2,"Cloudy Day",M320=3,"Rainy Day",M320=4,"Heavy Rain")</f>
        <v>Sunny Day</v>
      </c>
      <c r="O320">
        <v>0.2</v>
      </c>
      <c r="P320">
        <v>0.2576</v>
      </c>
      <c r="Q320">
        <v>0.47</v>
      </c>
      <c r="R320">
        <v>0</v>
      </c>
      <c r="S320">
        <v>5</v>
      </c>
      <c r="T320">
        <v>134</v>
      </c>
      <c r="U320">
        <v>139</v>
      </c>
    </row>
    <row r="321" spans="1:21" x14ac:dyDescent="0.3">
      <c r="A321">
        <v>320</v>
      </c>
      <c r="B321" t="s">
        <v>31</v>
      </c>
      <c r="C321" t="str">
        <f t="shared" si="17"/>
        <v>14-Jan-2011</v>
      </c>
      <c r="D321">
        <v>1</v>
      </c>
      <c r="E321">
        <v>0</v>
      </c>
      <c r="F321">
        <v>1</v>
      </c>
      <c r="G321" t="str">
        <f t="shared" si="16"/>
        <v>Jan</v>
      </c>
      <c r="H321">
        <v>19</v>
      </c>
      <c r="I321">
        <f t="shared" si="18"/>
        <v>1</v>
      </c>
      <c r="J321" t="s">
        <v>126</v>
      </c>
      <c r="K321">
        <v>5</v>
      </c>
      <c r="L321" t="str">
        <f t="shared" si="19"/>
        <v>Weekday</v>
      </c>
      <c r="M321">
        <v>1</v>
      </c>
      <c r="N321" t="str" cm="1">
        <f t="array" ref="N321">_xlfn.IFS(M321=1,"Sunny Day",M321=2,"Cloudy Day",M321=3,"Rainy Day",M321=4,"Heavy Rain")</f>
        <v>Sunny Day</v>
      </c>
      <c r="O321">
        <v>0.16</v>
      </c>
      <c r="P321">
        <v>0.19700000000000001</v>
      </c>
      <c r="Q321">
        <v>0.59</v>
      </c>
      <c r="R321">
        <v>8.9599999999999999E-2</v>
      </c>
      <c r="S321">
        <v>3</v>
      </c>
      <c r="T321">
        <v>89</v>
      </c>
      <c r="U321">
        <v>92</v>
      </c>
    </row>
    <row r="322" spans="1:21" x14ac:dyDescent="0.3">
      <c r="A322">
        <v>321</v>
      </c>
      <c r="B322" t="s">
        <v>31</v>
      </c>
      <c r="C322" t="str">
        <f t="shared" si="17"/>
        <v>14-Jan-2011</v>
      </c>
      <c r="D322">
        <v>1</v>
      </c>
      <c r="E322">
        <v>0</v>
      </c>
      <c r="F322">
        <v>1</v>
      </c>
      <c r="G322" t="str">
        <f t="shared" ref="G322:G385" si="20">TEXT(C322,"mmm")</f>
        <v>Jan</v>
      </c>
      <c r="H322">
        <v>20</v>
      </c>
      <c r="I322">
        <f t="shared" si="18"/>
        <v>1</v>
      </c>
      <c r="J322" t="s">
        <v>126</v>
      </c>
      <c r="K322">
        <v>5</v>
      </c>
      <c r="L322" t="str">
        <f t="shared" si="19"/>
        <v>Weekday</v>
      </c>
      <c r="M322">
        <v>1</v>
      </c>
      <c r="N322" t="str" cm="1">
        <f t="array" ref="N322">_xlfn.IFS(M322=1,"Sunny Day",M322=2,"Cloudy Day",M322=3,"Rainy Day",M322=4,"Heavy Rain")</f>
        <v>Sunny Day</v>
      </c>
      <c r="O322">
        <v>0.18</v>
      </c>
      <c r="P322">
        <v>0.2424</v>
      </c>
      <c r="Q322">
        <v>0.59</v>
      </c>
      <c r="R322">
        <v>0</v>
      </c>
      <c r="S322">
        <v>0</v>
      </c>
      <c r="T322">
        <v>68</v>
      </c>
      <c r="U322">
        <v>68</v>
      </c>
    </row>
    <row r="323" spans="1:21" x14ac:dyDescent="0.3">
      <c r="A323">
        <v>322</v>
      </c>
      <c r="B323" t="s">
        <v>31</v>
      </c>
      <c r="C323" t="str">
        <f t="shared" ref="C323:C386" si="21">TEXT(DATEVALUE(B323),"dd-mmm-yyyy")</f>
        <v>14-Jan-2011</v>
      </c>
      <c r="D323">
        <v>1</v>
      </c>
      <c r="E323">
        <v>0</v>
      </c>
      <c r="F323">
        <v>1</v>
      </c>
      <c r="G323" t="str">
        <f t="shared" si="20"/>
        <v>Jan</v>
      </c>
      <c r="H323">
        <v>21</v>
      </c>
      <c r="I323">
        <f t="shared" ref="I323:I386" si="22">IF(AND(H323&gt;=0,H323&lt;=10),0,1)</f>
        <v>1</v>
      </c>
      <c r="J323" t="s">
        <v>126</v>
      </c>
      <c r="K323">
        <v>5</v>
      </c>
      <c r="L323" t="str">
        <f t="shared" ref="L323:L386" si="23">IF(AND(K323&gt;=1,K323&lt;=5),"Weekday","Weekend")</f>
        <v>Weekday</v>
      </c>
      <c r="M323">
        <v>1</v>
      </c>
      <c r="N323" t="str" cm="1">
        <f t="array" ref="N323">_xlfn.IFS(M323=1,"Sunny Day",M323=2,"Cloudy Day",M323=3,"Rainy Day",M323=4,"Heavy Rain")</f>
        <v>Sunny Day</v>
      </c>
      <c r="O323">
        <v>0.16</v>
      </c>
      <c r="P323">
        <v>0.2273</v>
      </c>
      <c r="Q323">
        <v>0.69</v>
      </c>
      <c r="R323">
        <v>0</v>
      </c>
      <c r="S323">
        <v>4</v>
      </c>
      <c r="T323">
        <v>48</v>
      </c>
      <c r="U323">
        <v>52</v>
      </c>
    </row>
    <row r="324" spans="1:21" x14ac:dyDescent="0.3">
      <c r="A324">
        <v>323</v>
      </c>
      <c r="B324" t="s">
        <v>31</v>
      </c>
      <c r="C324" t="str">
        <f t="shared" si="21"/>
        <v>14-Jan-2011</v>
      </c>
      <c r="D324">
        <v>1</v>
      </c>
      <c r="E324">
        <v>0</v>
      </c>
      <c r="F324">
        <v>1</v>
      </c>
      <c r="G324" t="str">
        <f t="shared" si="20"/>
        <v>Jan</v>
      </c>
      <c r="H324">
        <v>22</v>
      </c>
      <c r="I324">
        <f t="shared" si="22"/>
        <v>1</v>
      </c>
      <c r="J324" t="s">
        <v>126</v>
      </c>
      <c r="K324">
        <v>5</v>
      </c>
      <c r="L324" t="str">
        <f t="shared" si="23"/>
        <v>Weekday</v>
      </c>
      <c r="M324">
        <v>2</v>
      </c>
      <c r="N324" t="str" cm="1">
        <f t="array" ref="N324">_xlfn.IFS(M324=1,"Sunny Day",M324=2,"Cloudy Day",M324=3,"Rainy Day",M324=4,"Heavy Rain")</f>
        <v>Cloudy Day</v>
      </c>
      <c r="O324">
        <v>0.16</v>
      </c>
      <c r="P324">
        <v>0.2273</v>
      </c>
      <c r="Q324">
        <v>0.69</v>
      </c>
      <c r="R324">
        <v>0</v>
      </c>
      <c r="S324">
        <v>2</v>
      </c>
      <c r="T324">
        <v>34</v>
      </c>
      <c r="U324">
        <v>36</v>
      </c>
    </row>
    <row r="325" spans="1:21" x14ac:dyDescent="0.3">
      <c r="A325">
        <v>324</v>
      </c>
      <c r="B325" t="s">
        <v>31</v>
      </c>
      <c r="C325" t="str">
        <f t="shared" si="21"/>
        <v>14-Jan-2011</v>
      </c>
      <c r="D325">
        <v>1</v>
      </c>
      <c r="E325">
        <v>0</v>
      </c>
      <c r="F325">
        <v>1</v>
      </c>
      <c r="G325" t="str">
        <f t="shared" si="20"/>
        <v>Jan</v>
      </c>
      <c r="H325">
        <v>23</v>
      </c>
      <c r="I325">
        <f t="shared" si="22"/>
        <v>1</v>
      </c>
      <c r="J325" t="s">
        <v>126</v>
      </c>
      <c r="K325">
        <v>5</v>
      </c>
      <c r="L325" t="str">
        <f t="shared" si="23"/>
        <v>Weekday</v>
      </c>
      <c r="M325">
        <v>2</v>
      </c>
      <c r="N325" t="str" cm="1">
        <f t="array" ref="N325">_xlfn.IFS(M325=1,"Sunny Day",M325=2,"Cloudy Day",M325=3,"Rainy Day",M325=4,"Heavy Rain")</f>
        <v>Cloudy Day</v>
      </c>
      <c r="O325">
        <v>0.18</v>
      </c>
      <c r="P325">
        <v>0.2424</v>
      </c>
      <c r="Q325">
        <v>0.55000000000000004</v>
      </c>
      <c r="R325">
        <v>0</v>
      </c>
      <c r="S325">
        <v>1</v>
      </c>
      <c r="T325">
        <v>26</v>
      </c>
      <c r="U325">
        <v>27</v>
      </c>
    </row>
    <row r="326" spans="1:21" x14ac:dyDescent="0.3">
      <c r="A326">
        <v>325</v>
      </c>
      <c r="B326" t="s">
        <v>33</v>
      </c>
      <c r="C326" t="str">
        <f t="shared" si="21"/>
        <v>15-Jan-2011</v>
      </c>
      <c r="D326">
        <v>1</v>
      </c>
      <c r="E326">
        <v>0</v>
      </c>
      <c r="F326">
        <v>1</v>
      </c>
      <c r="G326" t="str">
        <f t="shared" si="20"/>
        <v>Jan</v>
      </c>
      <c r="H326">
        <v>0</v>
      </c>
      <c r="I326">
        <f t="shared" si="22"/>
        <v>0</v>
      </c>
      <c r="J326" t="s">
        <v>125</v>
      </c>
      <c r="K326">
        <v>6</v>
      </c>
      <c r="L326" t="str">
        <f t="shared" si="23"/>
        <v>Weekend</v>
      </c>
      <c r="M326">
        <v>1</v>
      </c>
      <c r="N326" t="str" cm="1">
        <f t="array" ref="N326">_xlfn.IFS(M326=1,"Sunny Day",M326=2,"Cloudy Day",M326=3,"Rainy Day",M326=4,"Heavy Rain")</f>
        <v>Sunny Day</v>
      </c>
      <c r="O326">
        <v>0.18</v>
      </c>
      <c r="P326">
        <v>0.2424</v>
      </c>
      <c r="Q326">
        <v>0.55000000000000004</v>
      </c>
      <c r="R326">
        <v>0</v>
      </c>
      <c r="S326">
        <v>3</v>
      </c>
      <c r="T326">
        <v>25</v>
      </c>
      <c r="U326">
        <v>28</v>
      </c>
    </row>
    <row r="327" spans="1:21" x14ac:dyDescent="0.3">
      <c r="A327">
        <v>326</v>
      </c>
      <c r="B327" t="s">
        <v>33</v>
      </c>
      <c r="C327" t="str">
        <f t="shared" si="21"/>
        <v>15-Jan-2011</v>
      </c>
      <c r="D327">
        <v>1</v>
      </c>
      <c r="E327">
        <v>0</v>
      </c>
      <c r="F327">
        <v>1</v>
      </c>
      <c r="G327" t="str">
        <f t="shared" si="20"/>
        <v>Jan</v>
      </c>
      <c r="H327">
        <v>1</v>
      </c>
      <c r="I327">
        <f t="shared" si="22"/>
        <v>0</v>
      </c>
      <c r="J327" t="s">
        <v>125</v>
      </c>
      <c r="K327">
        <v>6</v>
      </c>
      <c r="L327" t="str">
        <f t="shared" si="23"/>
        <v>Weekend</v>
      </c>
      <c r="M327">
        <v>2</v>
      </c>
      <c r="N327" t="str" cm="1">
        <f t="array" ref="N327">_xlfn.IFS(M327=1,"Sunny Day",M327=2,"Cloudy Day",M327=3,"Rainy Day",M327=4,"Heavy Rain")</f>
        <v>Cloudy Day</v>
      </c>
      <c r="O327">
        <v>0.16</v>
      </c>
      <c r="P327">
        <v>0.19700000000000001</v>
      </c>
      <c r="Q327">
        <v>0.59</v>
      </c>
      <c r="R327">
        <v>8.9599999999999999E-2</v>
      </c>
      <c r="S327">
        <v>2</v>
      </c>
      <c r="T327">
        <v>18</v>
      </c>
      <c r="U327">
        <v>20</v>
      </c>
    </row>
    <row r="328" spans="1:21" x14ac:dyDescent="0.3">
      <c r="A328">
        <v>327</v>
      </c>
      <c r="B328" t="s">
        <v>33</v>
      </c>
      <c r="C328" t="str">
        <f t="shared" si="21"/>
        <v>15-Jan-2011</v>
      </c>
      <c r="D328">
        <v>1</v>
      </c>
      <c r="E328">
        <v>0</v>
      </c>
      <c r="F328">
        <v>1</v>
      </c>
      <c r="G328" t="str">
        <f t="shared" si="20"/>
        <v>Jan</v>
      </c>
      <c r="H328">
        <v>2</v>
      </c>
      <c r="I328">
        <f t="shared" si="22"/>
        <v>0</v>
      </c>
      <c r="J328" t="s">
        <v>125</v>
      </c>
      <c r="K328">
        <v>6</v>
      </c>
      <c r="L328" t="str">
        <f t="shared" si="23"/>
        <v>Weekend</v>
      </c>
      <c r="M328">
        <v>2</v>
      </c>
      <c r="N328" t="str" cm="1">
        <f t="array" ref="N328">_xlfn.IFS(M328=1,"Sunny Day",M328=2,"Cloudy Day",M328=3,"Rainy Day",M328=4,"Heavy Rain")</f>
        <v>Cloudy Day</v>
      </c>
      <c r="O328">
        <v>0.16</v>
      </c>
      <c r="P328">
        <v>0.19700000000000001</v>
      </c>
      <c r="Q328">
        <v>0.59</v>
      </c>
      <c r="R328">
        <v>8.9599999999999999E-2</v>
      </c>
      <c r="S328">
        <v>0</v>
      </c>
      <c r="T328">
        <v>12</v>
      </c>
      <c r="U328">
        <v>12</v>
      </c>
    </row>
    <row r="329" spans="1:21" x14ac:dyDescent="0.3">
      <c r="A329">
        <v>328</v>
      </c>
      <c r="B329" t="s">
        <v>33</v>
      </c>
      <c r="C329" t="str">
        <f t="shared" si="21"/>
        <v>15-Jan-2011</v>
      </c>
      <c r="D329">
        <v>1</v>
      </c>
      <c r="E329">
        <v>0</v>
      </c>
      <c r="F329">
        <v>1</v>
      </c>
      <c r="G329" t="str">
        <f t="shared" si="20"/>
        <v>Jan</v>
      </c>
      <c r="H329">
        <v>3</v>
      </c>
      <c r="I329">
        <f t="shared" si="22"/>
        <v>0</v>
      </c>
      <c r="J329" t="s">
        <v>125</v>
      </c>
      <c r="K329">
        <v>6</v>
      </c>
      <c r="L329" t="str">
        <f t="shared" si="23"/>
        <v>Weekend</v>
      </c>
      <c r="M329">
        <v>2</v>
      </c>
      <c r="N329" t="str" cm="1">
        <f t="array" ref="N329">_xlfn.IFS(M329=1,"Sunny Day",M329=2,"Cloudy Day",M329=3,"Rainy Day",M329=4,"Heavy Rain")</f>
        <v>Cloudy Day</v>
      </c>
      <c r="O329">
        <v>0.16</v>
      </c>
      <c r="P329">
        <v>0.2273</v>
      </c>
      <c r="Q329">
        <v>0.59</v>
      </c>
      <c r="R329">
        <v>0</v>
      </c>
      <c r="S329">
        <v>1</v>
      </c>
      <c r="T329">
        <v>7</v>
      </c>
      <c r="U329">
        <v>8</v>
      </c>
    </row>
    <row r="330" spans="1:21" x14ac:dyDescent="0.3">
      <c r="A330">
        <v>329</v>
      </c>
      <c r="B330" t="s">
        <v>33</v>
      </c>
      <c r="C330" t="str">
        <f t="shared" si="21"/>
        <v>15-Jan-2011</v>
      </c>
      <c r="D330">
        <v>1</v>
      </c>
      <c r="E330">
        <v>0</v>
      </c>
      <c r="F330">
        <v>1</v>
      </c>
      <c r="G330" t="str">
        <f t="shared" si="20"/>
        <v>Jan</v>
      </c>
      <c r="H330">
        <v>4</v>
      </c>
      <c r="I330">
        <f t="shared" si="22"/>
        <v>0</v>
      </c>
      <c r="J330" t="s">
        <v>125</v>
      </c>
      <c r="K330">
        <v>6</v>
      </c>
      <c r="L330" t="str">
        <f t="shared" si="23"/>
        <v>Weekend</v>
      </c>
      <c r="M330">
        <v>2</v>
      </c>
      <c r="N330" t="str" cm="1">
        <f t="array" ref="N330">_xlfn.IFS(M330=1,"Sunny Day",M330=2,"Cloudy Day",M330=3,"Rainy Day",M330=4,"Heavy Rain")</f>
        <v>Cloudy Day</v>
      </c>
      <c r="O330">
        <v>0.16</v>
      </c>
      <c r="P330">
        <v>0.2273</v>
      </c>
      <c r="Q330">
        <v>0.59</v>
      </c>
      <c r="R330">
        <v>0</v>
      </c>
      <c r="S330">
        <v>0</v>
      </c>
      <c r="T330">
        <v>5</v>
      </c>
      <c r="U330">
        <v>5</v>
      </c>
    </row>
    <row r="331" spans="1:21" x14ac:dyDescent="0.3">
      <c r="A331">
        <v>330</v>
      </c>
      <c r="B331" t="s">
        <v>33</v>
      </c>
      <c r="C331" t="str">
        <f t="shared" si="21"/>
        <v>15-Jan-2011</v>
      </c>
      <c r="D331">
        <v>1</v>
      </c>
      <c r="E331">
        <v>0</v>
      </c>
      <c r="F331">
        <v>1</v>
      </c>
      <c r="G331" t="str">
        <f t="shared" si="20"/>
        <v>Jan</v>
      </c>
      <c r="H331">
        <v>5</v>
      </c>
      <c r="I331">
        <f t="shared" si="22"/>
        <v>0</v>
      </c>
      <c r="J331" t="s">
        <v>125</v>
      </c>
      <c r="K331">
        <v>6</v>
      </c>
      <c r="L331" t="str">
        <f t="shared" si="23"/>
        <v>Weekend</v>
      </c>
      <c r="M331">
        <v>1</v>
      </c>
      <c r="N331" t="str" cm="1">
        <f t="array" ref="N331">_xlfn.IFS(M331=1,"Sunny Day",M331=2,"Cloudy Day",M331=3,"Rainy Day",M331=4,"Heavy Rain")</f>
        <v>Sunny Day</v>
      </c>
      <c r="O331">
        <v>0.16</v>
      </c>
      <c r="P331">
        <v>0.2273</v>
      </c>
      <c r="Q331">
        <v>0.59</v>
      </c>
      <c r="R331">
        <v>0</v>
      </c>
      <c r="S331">
        <v>0</v>
      </c>
      <c r="T331">
        <v>1</v>
      </c>
      <c r="U331">
        <v>1</v>
      </c>
    </row>
    <row r="332" spans="1:21" x14ac:dyDescent="0.3">
      <c r="A332">
        <v>331</v>
      </c>
      <c r="B332" t="s">
        <v>33</v>
      </c>
      <c r="C332" t="str">
        <f t="shared" si="21"/>
        <v>15-Jan-2011</v>
      </c>
      <c r="D332">
        <v>1</v>
      </c>
      <c r="E332">
        <v>0</v>
      </c>
      <c r="F332">
        <v>1</v>
      </c>
      <c r="G332" t="str">
        <f t="shared" si="20"/>
        <v>Jan</v>
      </c>
      <c r="H332">
        <v>6</v>
      </c>
      <c r="I332">
        <f t="shared" si="22"/>
        <v>0</v>
      </c>
      <c r="J332" t="s">
        <v>125</v>
      </c>
      <c r="K332">
        <v>6</v>
      </c>
      <c r="L332" t="str">
        <f t="shared" si="23"/>
        <v>Weekend</v>
      </c>
      <c r="M332">
        <v>1</v>
      </c>
      <c r="N332" t="str" cm="1">
        <f t="array" ref="N332">_xlfn.IFS(M332=1,"Sunny Day",M332=2,"Cloudy Day",M332=3,"Rainy Day",M332=4,"Heavy Rain")</f>
        <v>Sunny Day</v>
      </c>
      <c r="O332">
        <v>0.14000000000000001</v>
      </c>
      <c r="P332">
        <v>0.16669999999999999</v>
      </c>
      <c r="Q332">
        <v>0.63</v>
      </c>
      <c r="R332">
        <v>0.1045</v>
      </c>
      <c r="S332">
        <v>1</v>
      </c>
      <c r="T332">
        <v>2</v>
      </c>
      <c r="U332">
        <v>3</v>
      </c>
    </row>
    <row r="333" spans="1:21" x14ac:dyDescent="0.3">
      <c r="A333">
        <v>332</v>
      </c>
      <c r="B333" t="s">
        <v>33</v>
      </c>
      <c r="C333" t="str">
        <f t="shared" si="21"/>
        <v>15-Jan-2011</v>
      </c>
      <c r="D333">
        <v>1</v>
      </c>
      <c r="E333">
        <v>0</v>
      </c>
      <c r="F333">
        <v>1</v>
      </c>
      <c r="G333" t="str">
        <f t="shared" si="20"/>
        <v>Jan</v>
      </c>
      <c r="H333">
        <v>7</v>
      </c>
      <c r="I333">
        <f t="shared" si="22"/>
        <v>0</v>
      </c>
      <c r="J333" t="s">
        <v>125</v>
      </c>
      <c r="K333">
        <v>6</v>
      </c>
      <c r="L333" t="str">
        <f t="shared" si="23"/>
        <v>Weekend</v>
      </c>
      <c r="M333">
        <v>1</v>
      </c>
      <c r="N333" t="str" cm="1">
        <f t="array" ref="N333">_xlfn.IFS(M333=1,"Sunny Day",M333=2,"Cloudy Day",M333=3,"Rainy Day",M333=4,"Heavy Rain")</f>
        <v>Sunny Day</v>
      </c>
      <c r="O333">
        <v>0.14000000000000001</v>
      </c>
      <c r="P333">
        <v>0.21210000000000001</v>
      </c>
      <c r="Q333">
        <v>0.63</v>
      </c>
      <c r="R333">
        <v>0</v>
      </c>
      <c r="S333">
        <v>1</v>
      </c>
      <c r="T333">
        <v>9</v>
      </c>
      <c r="U333">
        <v>10</v>
      </c>
    </row>
    <row r="334" spans="1:21" x14ac:dyDescent="0.3">
      <c r="A334">
        <v>333</v>
      </c>
      <c r="B334" t="s">
        <v>33</v>
      </c>
      <c r="C334" t="str">
        <f t="shared" si="21"/>
        <v>15-Jan-2011</v>
      </c>
      <c r="D334">
        <v>1</v>
      </c>
      <c r="E334">
        <v>0</v>
      </c>
      <c r="F334">
        <v>1</v>
      </c>
      <c r="G334" t="str">
        <f t="shared" si="20"/>
        <v>Jan</v>
      </c>
      <c r="H334">
        <v>8</v>
      </c>
      <c r="I334">
        <f t="shared" si="22"/>
        <v>0</v>
      </c>
      <c r="J334" t="s">
        <v>125</v>
      </c>
      <c r="K334">
        <v>6</v>
      </c>
      <c r="L334" t="str">
        <f t="shared" si="23"/>
        <v>Weekend</v>
      </c>
      <c r="M334">
        <v>1</v>
      </c>
      <c r="N334" t="str" cm="1">
        <f t="array" ref="N334">_xlfn.IFS(M334=1,"Sunny Day",M334=2,"Cloudy Day",M334=3,"Rainy Day",M334=4,"Heavy Rain")</f>
        <v>Sunny Day</v>
      </c>
      <c r="O334">
        <v>0.14000000000000001</v>
      </c>
      <c r="P334">
        <v>0.1515</v>
      </c>
      <c r="Q334">
        <v>0.63</v>
      </c>
      <c r="R334">
        <v>0.1343</v>
      </c>
      <c r="S334">
        <v>1</v>
      </c>
      <c r="T334">
        <v>22</v>
      </c>
      <c r="U334">
        <v>23</v>
      </c>
    </row>
    <row r="335" spans="1:21" x14ac:dyDescent="0.3">
      <c r="A335">
        <v>334</v>
      </c>
      <c r="B335" t="s">
        <v>33</v>
      </c>
      <c r="C335" t="str">
        <f t="shared" si="21"/>
        <v>15-Jan-2011</v>
      </c>
      <c r="D335">
        <v>1</v>
      </c>
      <c r="E335">
        <v>0</v>
      </c>
      <c r="F335">
        <v>1</v>
      </c>
      <c r="G335" t="str">
        <f t="shared" si="20"/>
        <v>Jan</v>
      </c>
      <c r="H335">
        <v>9</v>
      </c>
      <c r="I335">
        <f t="shared" si="22"/>
        <v>0</v>
      </c>
      <c r="J335" t="s">
        <v>125</v>
      </c>
      <c r="K335">
        <v>6</v>
      </c>
      <c r="L335" t="str">
        <f t="shared" si="23"/>
        <v>Weekend</v>
      </c>
      <c r="M335">
        <v>1</v>
      </c>
      <c r="N335" t="str" cm="1">
        <f t="array" ref="N335">_xlfn.IFS(M335=1,"Sunny Day",M335=2,"Cloudy Day",M335=3,"Rainy Day",M335=4,"Heavy Rain")</f>
        <v>Sunny Day</v>
      </c>
      <c r="O335">
        <v>0.16</v>
      </c>
      <c r="P335">
        <v>0.18179999999999999</v>
      </c>
      <c r="Q335">
        <v>0.64</v>
      </c>
      <c r="R335">
        <v>0.1343</v>
      </c>
      <c r="S335">
        <v>2</v>
      </c>
      <c r="T335">
        <v>31</v>
      </c>
      <c r="U335">
        <v>33</v>
      </c>
    </row>
    <row r="336" spans="1:21" x14ac:dyDescent="0.3">
      <c r="A336">
        <v>335</v>
      </c>
      <c r="B336" t="s">
        <v>33</v>
      </c>
      <c r="C336" t="str">
        <f t="shared" si="21"/>
        <v>15-Jan-2011</v>
      </c>
      <c r="D336">
        <v>1</v>
      </c>
      <c r="E336">
        <v>0</v>
      </c>
      <c r="F336">
        <v>1</v>
      </c>
      <c r="G336" t="str">
        <f t="shared" si="20"/>
        <v>Jan</v>
      </c>
      <c r="H336">
        <v>10</v>
      </c>
      <c r="I336">
        <f t="shared" si="22"/>
        <v>0</v>
      </c>
      <c r="J336" t="s">
        <v>125</v>
      </c>
      <c r="K336">
        <v>6</v>
      </c>
      <c r="L336" t="str">
        <f t="shared" si="23"/>
        <v>Weekend</v>
      </c>
      <c r="M336">
        <v>1</v>
      </c>
      <c r="N336" t="str" cm="1">
        <f t="array" ref="N336">_xlfn.IFS(M336=1,"Sunny Day",M336=2,"Cloudy Day",M336=3,"Rainy Day",M336=4,"Heavy Rain")</f>
        <v>Sunny Day</v>
      </c>
      <c r="O336">
        <v>0.18</v>
      </c>
      <c r="P336">
        <v>0.19700000000000001</v>
      </c>
      <c r="Q336">
        <v>0.59</v>
      </c>
      <c r="R336">
        <v>0.16420000000000001</v>
      </c>
      <c r="S336">
        <v>2</v>
      </c>
      <c r="T336">
        <v>57</v>
      </c>
      <c r="U336">
        <v>59</v>
      </c>
    </row>
    <row r="337" spans="1:21" x14ac:dyDescent="0.3">
      <c r="A337">
        <v>336</v>
      </c>
      <c r="B337" t="s">
        <v>33</v>
      </c>
      <c r="C337" t="str">
        <f t="shared" si="21"/>
        <v>15-Jan-2011</v>
      </c>
      <c r="D337">
        <v>1</v>
      </c>
      <c r="E337">
        <v>0</v>
      </c>
      <c r="F337">
        <v>1</v>
      </c>
      <c r="G337" t="str">
        <f t="shared" si="20"/>
        <v>Jan</v>
      </c>
      <c r="H337">
        <v>11</v>
      </c>
      <c r="I337">
        <f t="shared" si="22"/>
        <v>1</v>
      </c>
      <c r="J337" t="s">
        <v>125</v>
      </c>
      <c r="K337">
        <v>6</v>
      </c>
      <c r="L337" t="str">
        <f t="shared" si="23"/>
        <v>Weekend</v>
      </c>
      <c r="M337">
        <v>1</v>
      </c>
      <c r="N337" t="str" cm="1">
        <f t="array" ref="N337">_xlfn.IFS(M337=1,"Sunny Day",M337=2,"Cloudy Day",M337=3,"Rainy Day",M337=4,"Heavy Rain")</f>
        <v>Sunny Day</v>
      </c>
      <c r="O337">
        <v>0.2</v>
      </c>
      <c r="P337">
        <v>0.19700000000000001</v>
      </c>
      <c r="Q337">
        <v>0.55000000000000004</v>
      </c>
      <c r="R337">
        <v>0.22389999999999999</v>
      </c>
      <c r="S337">
        <v>18</v>
      </c>
      <c r="T337">
        <v>54</v>
      </c>
      <c r="U337">
        <v>72</v>
      </c>
    </row>
    <row r="338" spans="1:21" x14ac:dyDescent="0.3">
      <c r="A338">
        <v>337</v>
      </c>
      <c r="B338" t="s">
        <v>33</v>
      </c>
      <c r="C338" t="str">
        <f t="shared" si="21"/>
        <v>15-Jan-2011</v>
      </c>
      <c r="D338">
        <v>1</v>
      </c>
      <c r="E338">
        <v>0</v>
      </c>
      <c r="F338">
        <v>1</v>
      </c>
      <c r="G338" t="str">
        <f t="shared" si="20"/>
        <v>Jan</v>
      </c>
      <c r="H338">
        <v>12</v>
      </c>
      <c r="I338">
        <f t="shared" si="22"/>
        <v>1</v>
      </c>
      <c r="J338" t="s">
        <v>125</v>
      </c>
      <c r="K338">
        <v>6</v>
      </c>
      <c r="L338" t="str">
        <f t="shared" si="23"/>
        <v>Weekend</v>
      </c>
      <c r="M338">
        <v>1</v>
      </c>
      <c r="N338" t="str" cm="1">
        <f t="array" ref="N338">_xlfn.IFS(M338=1,"Sunny Day",M338=2,"Cloudy Day",M338=3,"Rainy Day",M338=4,"Heavy Rain")</f>
        <v>Sunny Day</v>
      </c>
      <c r="O338">
        <v>0.24</v>
      </c>
      <c r="P338">
        <v>0.2273</v>
      </c>
      <c r="Q338">
        <v>0.48</v>
      </c>
      <c r="R338">
        <v>0.22389999999999999</v>
      </c>
      <c r="S338">
        <v>15</v>
      </c>
      <c r="T338">
        <v>74</v>
      </c>
      <c r="U338">
        <v>89</v>
      </c>
    </row>
    <row r="339" spans="1:21" x14ac:dyDescent="0.3">
      <c r="A339">
        <v>338</v>
      </c>
      <c r="B339" t="s">
        <v>33</v>
      </c>
      <c r="C339" t="str">
        <f t="shared" si="21"/>
        <v>15-Jan-2011</v>
      </c>
      <c r="D339">
        <v>1</v>
      </c>
      <c r="E339">
        <v>0</v>
      </c>
      <c r="F339">
        <v>1</v>
      </c>
      <c r="G339" t="str">
        <f t="shared" si="20"/>
        <v>Jan</v>
      </c>
      <c r="H339">
        <v>13</v>
      </c>
      <c r="I339">
        <f t="shared" si="22"/>
        <v>1</v>
      </c>
      <c r="J339" t="s">
        <v>125</v>
      </c>
      <c r="K339">
        <v>6</v>
      </c>
      <c r="L339" t="str">
        <f t="shared" si="23"/>
        <v>Weekend</v>
      </c>
      <c r="M339">
        <v>1</v>
      </c>
      <c r="N339" t="str" cm="1">
        <f t="array" ref="N339">_xlfn.IFS(M339=1,"Sunny Day",M339=2,"Cloudy Day",M339=3,"Rainy Day",M339=4,"Heavy Rain")</f>
        <v>Sunny Day</v>
      </c>
      <c r="O339">
        <v>0.28000000000000003</v>
      </c>
      <c r="P339">
        <v>0.2576</v>
      </c>
      <c r="Q339">
        <v>0.38</v>
      </c>
      <c r="R339">
        <v>0.29849999999999999</v>
      </c>
      <c r="S339">
        <v>21</v>
      </c>
      <c r="T339">
        <v>80</v>
      </c>
      <c r="U339">
        <v>101</v>
      </c>
    </row>
    <row r="340" spans="1:21" x14ac:dyDescent="0.3">
      <c r="A340">
        <v>339</v>
      </c>
      <c r="B340" t="s">
        <v>33</v>
      </c>
      <c r="C340" t="str">
        <f t="shared" si="21"/>
        <v>15-Jan-2011</v>
      </c>
      <c r="D340">
        <v>1</v>
      </c>
      <c r="E340">
        <v>0</v>
      </c>
      <c r="F340">
        <v>1</v>
      </c>
      <c r="G340" t="str">
        <f t="shared" si="20"/>
        <v>Jan</v>
      </c>
      <c r="H340">
        <v>14</v>
      </c>
      <c r="I340">
        <f t="shared" si="22"/>
        <v>1</v>
      </c>
      <c r="J340" t="s">
        <v>125</v>
      </c>
      <c r="K340">
        <v>6</v>
      </c>
      <c r="L340" t="str">
        <f t="shared" si="23"/>
        <v>Weekend</v>
      </c>
      <c r="M340">
        <v>1</v>
      </c>
      <c r="N340" t="str" cm="1">
        <f t="array" ref="N340">_xlfn.IFS(M340=1,"Sunny Day",M340=2,"Cloudy Day",M340=3,"Rainy Day",M340=4,"Heavy Rain")</f>
        <v>Sunny Day</v>
      </c>
      <c r="O340">
        <v>0.3</v>
      </c>
      <c r="P340">
        <v>0.28789999999999999</v>
      </c>
      <c r="Q340">
        <v>0.39</v>
      </c>
      <c r="R340">
        <v>0.28360000000000002</v>
      </c>
      <c r="S340">
        <v>26</v>
      </c>
      <c r="T340">
        <v>92</v>
      </c>
      <c r="U340">
        <v>118</v>
      </c>
    </row>
    <row r="341" spans="1:21" x14ac:dyDescent="0.3">
      <c r="A341">
        <v>340</v>
      </c>
      <c r="B341" t="s">
        <v>33</v>
      </c>
      <c r="C341" t="str">
        <f t="shared" si="21"/>
        <v>15-Jan-2011</v>
      </c>
      <c r="D341">
        <v>1</v>
      </c>
      <c r="E341">
        <v>0</v>
      </c>
      <c r="F341">
        <v>1</v>
      </c>
      <c r="G341" t="str">
        <f t="shared" si="20"/>
        <v>Jan</v>
      </c>
      <c r="H341">
        <v>15</v>
      </c>
      <c r="I341">
        <f t="shared" si="22"/>
        <v>1</v>
      </c>
      <c r="J341" t="s">
        <v>125</v>
      </c>
      <c r="K341">
        <v>6</v>
      </c>
      <c r="L341" t="str">
        <f t="shared" si="23"/>
        <v>Weekend</v>
      </c>
      <c r="M341">
        <v>2</v>
      </c>
      <c r="N341" t="str" cm="1">
        <f t="array" ref="N341">_xlfn.IFS(M341=1,"Sunny Day",M341=2,"Cloudy Day",M341=3,"Rainy Day",M341=4,"Heavy Rain")</f>
        <v>Cloudy Day</v>
      </c>
      <c r="O341">
        <v>0.32</v>
      </c>
      <c r="P341">
        <v>0.31819999999999998</v>
      </c>
      <c r="Q341">
        <v>0.36</v>
      </c>
      <c r="R341">
        <v>0.19400000000000001</v>
      </c>
      <c r="S341">
        <v>21</v>
      </c>
      <c r="T341">
        <v>108</v>
      </c>
      <c r="U341">
        <v>129</v>
      </c>
    </row>
    <row r="342" spans="1:21" x14ac:dyDescent="0.3">
      <c r="A342">
        <v>341</v>
      </c>
      <c r="B342" t="s">
        <v>33</v>
      </c>
      <c r="C342" t="str">
        <f t="shared" si="21"/>
        <v>15-Jan-2011</v>
      </c>
      <c r="D342">
        <v>1</v>
      </c>
      <c r="E342">
        <v>0</v>
      </c>
      <c r="F342">
        <v>1</v>
      </c>
      <c r="G342" t="str">
        <f t="shared" si="20"/>
        <v>Jan</v>
      </c>
      <c r="H342">
        <v>16</v>
      </c>
      <c r="I342">
        <f t="shared" si="22"/>
        <v>1</v>
      </c>
      <c r="J342" t="s">
        <v>125</v>
      </c>
      <c r="K342">
        <v>6</v>
      </c>
      <c r="L342" t="str">
        <f t="shared" si="23"/>
        <v>Weekend</v>
      </c>
      <c r="M342">
        <v>2</v>
      </c>
      <c r="N342" t="str" cm="1">
        <f t="array" ref="N342">_xlfn.IFS(M342=1,"Sunny Day",M342=2,"Cloudy Day",M342=3,"Rainy Day",M342=4,"Heavy Rain")</f>
        <v>Cloudy Day</v>
      </c>
      <c r="O342">
        <v>0.34</v>
      </c>
      <c r="P342">
        <v>0.33329999999999999</v>
      </c>
      <c r="Q342">
        <v>0.34</v>
      </c>
      <c r="R342">
        <v>0.19400000000000001</v>
      </c>
      <c r="S342">
        <v>33</v>
      </c>
      <c r="T342">
        <v>95</v>
      </c>
      <c r="U342">
        <v>128</v>
      </c>
    </row>
    <row r="343" spans="1:21" x14ac:dyDescent="0.3">
      <c r="A343">
        <v>342</v>
      </c>
      <c r="B343" t="s">
        <v>33</v>
      </c>
      <c r="C343" t="str">
        <f t="shared" si="21"/>
        <v>15-Jan-2011</v>
      </c>
      <c r="D343">
        <v>1</v>
      </c>
      <c r="E343">
        <v>0</v>
      </c>
      <c r="F343">
        <v>1</v>
      </c>
      <c r="G343" t="str">
        <f t="shared" si="20"/>
        <v>Jan</v>
      </c>
      <c r="H343">
        <v>17</v>
      </c>
      <c r="I343">
        <f t="shared" si="22"/>
        <v>1</v>
      </c>
      <c r="J343" t="s">
        <v>125</v>
      </c>
      <c r="K343">
        <v>6</v>
      </c>
      <c r="L343" t="str">
        <f t="shared" si="23"/>
        <v>Weekend</v>
      </c>
      <c r="M343">
        <v>2</v>
      </c>
      <c r="N343" t="str" cm="1">
        <f t="array" ref="N343">_xlfn.IFS(M343=1,"Sunny Day",M343=2,"Cloudy Day",M343=3,"Rainy Day",M343=4,"Heavy Rain")</f>
        <v>Cloudy Day</v>
      </c>
      <c r="O343">
        <v>0.32</v>
      </c>
      <c r="P343">
        <v>0.30299999999999999</v>
      </c>
      <c r="Q343">
        <v>0.36</v>
      </c>
      <c r="R343">
        <v>0.28360000000000002</v>
      </c>
      <c r="S343">
        <v>29</v>
      </c>
      <c r="T343">
        <v>54</v>
      </c>
      <c r="U343">
        <v>83</v>
      </c>
    </row>
    <row r="344" spans="1:21" x14ac:dyDescent="0.3">
      <c r="A344">
        <v>343</v>
      </c>
      <c r="B344" t="s">
        <v>33</v>
      </c>
      <c r="C344" t="str">
        <f t="shared" si="21"/>
        <v>15-Jan-2011</v>
      </c>
      <c r="D344">
        <v>1</v>
      </c>
      <c r="E344">
        <v>0</v>
      </c>
      <c r="F344">
        <v>1</v>
      </c>
      <c r="G344" t="str">
        <f t="shared" si="20"/>
        <v>Jan</v>
      </c>
      <c r="H344">
        <v>18</v>
      </c>
      <c r="I344">
        <f t="shared" si="22"/>
        <v>1</v>
      </c>
      <c r="J344" t="s">
        <v>125</v>
      </c>
      <c r="K344">
        <v>6</v>
      </c>
      <c r="L344" t="str">
        <f t="shared" si="23"/>
        <v>Weekend</v>
      </c>
      <c r="M344">
        <v>2</v>
      </c>
      <c r="N344" t="str" cm="1">
        <f t="array" ref="N344">_xlfn.IFS(M344=1,"Sunny Day",M344=2,"Cloudy Day",M344=3,"Rainy Day",M344=4,"Heavy Rain")</f>
        <v>Cloudy Day</v>
      </c>
      <c r="O344">
        <v>0.3</v>
      </c>
      <c r="P344">
        <v>0.28789999999999999</v>
      </c>
      <c r="Q344">
        <v>0.45</v>
      </c>
      <c r="R344">
        <v>0.25369999999999998</v>
      </c>
      <c r="S344">
        <v>15</v>
      </c>
      <c r="T344">
        <v>69</v>
      </c>
      <c r="U344">
        <v>84</v>
      </c>
    </row>
    <row r="345" spans="1:21" x14ac:dyDescent="0.3">
      <c r="A345">
        <v>344</v>
      </c>
      <c r="B345" t="s">
        <v>33</v>
      </c>
      <c r="C345" t="str">
        <f t="shared" si="21"/>
        <v>15-Jan-2011</v>
      </c>
      <c r="D345">
        <v>1</v>
      </c>
      <c r="E345">
        <v>0</v>
      </c>
      <c r="F345">
        <v>1</v>
      </c>
      <c r="G345" t="str">
        <f t="shared" si="20"/>
        <v>Jan</v>
      </c>
      <c r="H345">
        <v>19</v>
      </c>
      <c r="I345">
        <f t="shared" si="22"/>
        <v>1</v>
      </c>
      <c r="J345" t="s">
        <v>125</v>
      </c>
      <c r="K345">
        <v>6</v>
      </c>
      <c r="L345" t="str">
        <f t="shared" si="23"/>
        <v>Weekend</v>
      </c>
      <c r="M345">
        <v>2</v>
      </c>
      <c r="N345" t="str" cm="1">
        <f t="array" ref="N345">_xlfn.IFS(M345=1,"Sunny Day",M345=2,"Cloudy Day",M345=3,"Rainy Day",M345=4,"Heavy Rain")</f>
        <v>Cloudy Day</v>
      </c>
      <c r="O345">
        <v>0.32</v>
      </c>
      <c r="P345">
        <v>0.30299999999999999</v>
      </c>
      <c r="Q345">
        <v>0.39</v>
      </c>
      <c r="R345">
        <v>0.25369999999999998</v>
      </c>
      <c r="S345">
        <v>14</v>
      </c>
      <c r="T345">
        <v>60</v>
      </c>
      <c r="U345">
        <v>74</v>
      </c>
    </row>
    <row r="346" spans="1:21" x14ac:dyDescent="0.3">
      <c r="A346">
        <v>345</v>
      </c>
      <c r="B346" t="s">
        <v>33</v>
      </c>
      <c r="C346" t="str">
        <f t="shared" si="21"/>
        <v>15-Jan-2011</v>
      </c>
      <c r="D346">
        <v>1</v>
      </c>
      <c r="E346">
        <v>0</v>
      </c>
      <c r="F346">
        <v>1</v>
      </c>
      <c r="G346" t="str">
        <f t="shared" si="20"/>
        <v>Jan</v>
      </c>
      <c r="H346">
        <v>20</v>
      </c>
      <c r="I346">
        <f t="shared" si="22"/>
        <v>1</v>
      </c>
      <c r="J346" t="s">
        <v>125</v>
      </c>
      <c r="K346">
        <v>6</v>
      </c>
      <c r="L346" t="str">
        <f t="shared" si="23"/>
        <v>Weekend</v>
      </c>
      <c r="M346">
        <v>2</v>
      </c>
      <c r="N346" t="str" cm="1">
        <f t="array" ref="N346">_xlfn.IFS(M346=1,"Sunny Day",M346=2,"Cloudy Day",M346=3,"Rainy Day",M346=4,"Heavy Rain")</f>
        <v>Cloudy Day</v>
      </c>
      <c r="O346">
        <v>0.32</v>
      </c>
      <c r="P346">
        <v>0.30299999999999999</v>
      </c>
      <c r="Q346">
        <v>0.39</v>
      </c>
      <c r="R346">
        <v>0.25369999999999998</v>
      </c>
      <c r="S346">
        <v>6</v>
      </c>
      <c r="T346">
        <v>35</v>
      </c>
      <c r="U346">
        <v>41</v>
      </c>
    </row>
    <row r="347" spans="1:21" x14ac:dyDescent="0.3">
      <c r="A347">
        <v>346</v>
      </c>
      <c r="B347" t="s">
        <v>33</v>
      </c>
      <c r="C347" t="str">
        <f t="shared" si="21"/>
        <v>15-Jan-2011</v>
      </c>
      <c r="D347">
        <v>1</v>
      </c>
      <c r="E347">
        <v>0</v>
      </c>
      <c r="F347">
        <v>1</v>
      </c>
      <c r="G347" t="str">
        <f t="shared" si="20"/>
        <v>Jan</v>
      </c>
      <c r="H347">
        <v>21</v>
      </c>
      <c r="I347">
        <f t="shared" si="22"/>
        <v>1</v>
      </c>
      <c r="J347" t="s">
        <v>125</v>
      </c>
      <c r="K347">
        <v>6</v>
      </c>
      <c r="L347" t="str">
        <f t="shared" si="23"/>
        <v>Weekend</v>
      </c>
      <c r="M347">
        <v>2</v>
      </c>
      <c r="N347" t="str" cm="1">
        <f t="array" ref="N347">_xlfn.IFS(M347=1,"Sunny Day",M347=2,"Cloudy Day",M347=3,"Rainy Day",M347=4,"Heavy Rain")</f>
        <v>Cloudy Day</v>
      </c>
      <c r="O347">
        <v>0.32</v>
      </c>
      <c r="P347">
        <v>0.30299999999999999</v>
      </c>
      <c r="Q347">
        <v>0.39</v>
      </c>
      <c r="R347">
        <v>0.22389999999999999</v>
      </c>
      <c r="S347">
        <v>6</v>
      </c>
      <c r="T347">
        <v>51</v>
      </c>
      <c r="U347">
        <v>57</v>
      </c>
    </row>
    <row r="348" spans="1:21" x14ac:dyDescent="0.3">
      <c r="A348">
        <v>347</v>
      </c>
      <c r="B348" t="s">
        <v>33</v>
      </c>
      <c r="C348" t="str">
        <f t="shared" si="21"/>
        <v>15-Jan-2011</v>
      </c>
      <c r="D348">
        <v>1</v>
      </c>
      <c r="E348">
        <v>0</v>
      </c>
      <c r="F348">
        <v>1</v>
      </c>
      <c r="G348" t="str">
        <f t="shared" si="20"/>
        <v>Jan</v>
      </c>
      <c r="H348">
        <v>22</v>
      </c>
      <c r="I348">
        <f t="shared" si="22"/>
        <v>1</v>
      </c>
      <c r="J348" t="s">
        <v>125</v>
      </c>
      <c r="K348">
        <v>6</v>
      </c>
      <c r="L348" t="str">
        <f t="shared" si="23"/>
        <v>Weekend</v>
      </c>
      <c r="M348">
        <v>2</v>
      </c>
      <c r="N348" t="str" cm="1">
        <f t="array" ref="N348">_xlfn.IFS(M348=1,"Sunny Day",M348=2,"Cloudy Day",M348=3,"Rainy Day",M348=4,"Heavy Rain")</f>
        <v>Cloudy Day</v>
      </c>
      <c r="O348">
        <v>0.3</v>
      </c>
      <c r="P348">
        <v>0.31819999999999998</v>
      </c>
      <c r="Q348">
        <v>0.42</v>
      </c>
      <c r="R348">
        <v>0.1045</v>
      </c>
      <c r="S348">
        <v>0</v>
      </c>
      <c r="T348">
        <v>26</v>
      </c>
      <c r="U348">
        <v>26</v>
      </c>
    </row>
    <row r="349" spans="1:21" x14ac:dyDescent="0.3">
      <c r="A349">
        <v>348</v>
      </c>
      <c r="B349" t="s">
        <v>33</v>
      </c>
      <c r="C349" t="str">
        <f t="shared" si="21"/>
        <v>15-Jan-2011</v>
      </c>
      <c r="D349">
        <v>1</v>
      </c>
      <c r="E349">
        <v>0</v>
      </c>
      <c r="F349">
        <v>1</v>
      </c>
      <c r="G349" t="str">
        <f t="shared" si="20"/>
        <v>Jan</v>
      </c>
      <c r="H349">
        <v>23</v>
      </c>
      <c r="I349">
        <f t="shared" si="22"/>
        <v>1</v>
      </c>
      <c r="J349" t="s">
        <v>125</v>
      </c>
      <c r="K349">
        <v>6</v>
      </c>
      <c r="L349" t="str">
        <f t="shared" si="23"/>
        <v>Weekend</v>
      </c>
      <c r="M349">
        <v>1</v>
      </c>
      <c r="N349" t="str" cm="1">
        <f t="array" ref="N349">_xlfn.IFS(M349=1,"Sunny Day",M349=2,"Cloudy Day",M349=3,"Rainy Day",M349=4,"Heavy Rain")</f>
        <v>Sunny Day</v>
      </c>
      <c r="O349">
        <v>0.3</v>
      </c>
      <c r="P349">
        <v>0.28789999999999999</v>
      </c>
      <c r="Q349">
        <v>0.45</v>
      </c>
      <c r="R349">
        <v>0.28360000000000002</v>
      </c>
      <c r="S349">
        <v>5</v>
      </c>
      <c r="T349">
        <v>39</v>
      </c>
      <c r="U349">
        <v>44</v>
      </c>
    </row>
    <row r="350" spans="1:21" x14ac:dyDescent="0.3">
      <c r="A350">
        <v>349</v>
      </c>
      <c r="B350" t="s">
        <v>35</v>
      </c>
      <c r="C350" t="str">
        <f t="shared" si="21"/>
        <v>16-Jan-2011</v>
      </c>
      <c r="D350">
        <v>1</v>
      </c>
      <c r="E350">
        <v>0</v>
      </c>
      <c r="F350">
        <v>1</v>
      </c>
      <c r="G350" t="str">
        <f t="shared" si="20"/>
        <v>Jan</v>
      </c>
      <c r="H350">
        <v>0</v>
      </c>
      <c r="I350">
        <f t="shared" si="22"/>
        <v>0</v>
      </c>
      <c r="J350" t="s">
        <v>125</v>
      </c>
      <c r="K350">
        <v>0</v>
      </c>
      <c r="L350" t="str">
        <f t="shared" si="23"/>
        <v>Weekend</v>
      </c>
      <c r="M350">
        <v>1</v>
      </c>
      <c r="N350" t="str" cm="1">
        <f t="array" ref="N350">_xlfn.IFS(M350=1,"Sunny Day",M350=2,"Cloudy Day",M350=3,"Rainy Day",M350=4,"Heavy Rain")</f>
        <v>Sunny Day</v>
      </c>
      <c r="O350">
        <v>0.26</v>
      </c>
      <c r="P350">
        <v>0.30299999999999999</v>
      </c>
      <c r="Q350">
        <v>0.56000000000000005</v>
      </c>
      <c r="R350">
        <v>0</v>
      </c>
      <c r="S350">
        <v>6</v>
      </c>
      <c r="T350">
        <v>33</v>
      </c>
      <c r="U350">
        <v>39</v>
      </c>
    </row>
    <row r="351" spans="1:21" x14ac:dyDescent="0.3">
      <c r="A351">
        <v>350</v>
      </c>
      <c r="B351" t="s">
        <v>35</v>
      </c>
      <c r="C351" t="str">
        <f t="shared" si="21"/>
        <v>16-Jan-2011</v>
      </c>
      <c r="D351">
        <v>1</v>
      </c>
      <c r="E351">
        <v>0</v>
      </c>
      <c r="F351">
        <v>1</v>
      </c>
      <c r="G351" t="str">
        <f t="shared" si="20"/>
        <v>Jan</v>
      </c>
      <c r="H351">
        <v>1</v>
      </c>
      <c r="I351">
        <f t="shared" si="22"/>
        <v>0</v>
      </c>
      <c r="J351" t="s">
        <v>125</v>
      </c>
      <c r="K351">
        <v>0</v>
      </c>
      <c r="L351" t="str">
        <f t="shared" si="23"/>
        <v>Weekend</v>
      </c>
      <c r="M351">
        <v>1</v>
      </c>
      <c r="N351" t="str" cm="1">
        <f t="array" ref="N351">_xlfn.IFS(M351=1,"Sunny Day",M351=2,"Cloudy Day",M351=3,"Rainy Day",M351=4,"Heavy Rain")</f>
        <v>Sunny Day</v>
      </c>
      <c r="O351">
        <v>0.26</v>
      </c>
      <c r="P351">
        <v>0.2727</v>
      </c>
      <c r="Q351">
        <v>0.56000000000000005</v>
      </c>
      <c r="R351">
        <v>0.1343</v>
      </c>
      <c r="S351">
        <v>4</v>
      </c>
      <c r="T351">
        <v>19</v>
      </c>
      <c r="U351">
        <v>23</v>
      </c>
    </row>
    <row r="352" spans="1:21" x14ac:dyDescent="0.3">
      <c r="A352">
        <v>351</v>
      </c>
      <c r="B352" t="s">
        <v>35</v>
      </c>
      <c r="C352" t="str">
        <f t="shared" si="21"/>
        <v>16-Jan-2011</v>
      </c>
      <c r="D352">
        <v>1</v>
      </c>
      <c r="E352">
        <v>0</v>
      </c>
      <c r="F352">
        <v>1</v>
      </c>
      <c r="G352" t="str">
        <f t="shared" si="20"/>
        <v>Jan</v>
      </c>
      <c r="H352">
        <v>2</v>
      </c>
      <c r="I352">
        <f t="shared" si="22"/>
        <v>0</v>
      </c>
      <c r="J352" t="s">
        <v>125</v>
      </c>
      <c r="K352">
        <v>0</v>
      </c>
      <c r="L352" t="str">
        <f t="shared" si="23"/>
        <v>Weekend</v>
      </c>
      <c r="M352">
        <v>1</v>
      </c>
      <c r="N352" t="str" cm="1">
        <f t="array" ref="N352">_xlfn.IFS(M352=1,"Sunny Day",M352=2,"Cloudy Day",M352=3,"Rainy Day",M352=4,"Heavy Rain")</f>
        <v>Sunny Day</v>
      </c>
      <c r="O352">
        <v>0.26</v>
      </c>
      <c r="P352">
        <v>0.28789999999999999</v>
      </c>
      <c r="Q352">
        <v>0.56000000000000005</v>
      </c>
      <c r="R352">
        <v>8.9599999999999999E-2</v>
      </c>
      <c r="S352">
        <v>3</v>
      </c>
      <c r="T352">
        <v>13</v>
      </c>
      <c r="U352">
        <v>16</v>
      </c>
    </row>
    <row r="353" spans="1:21" x14ac:dyDescent="0.3">
      <c r="A353">
        <v>352</v>
      </c>
      <c r="B353" t="s">
        <v>35</v>
      </c>
      <c r="C353" t="str">
        <f t="shared" si="21"/>
        <v>16-Jan-2011</v>
      </c>
      <c r="D353">
        <v>1</v>
      </c>
      <c r="E353">
        <v>0</v>
      </c>
      <c r="F353">
        <v>1</v>
      </c>
      <c r="G353" t="str">
        <f t="shared" si="20"/>
        <v>Jan</v>
      </c>
      <c r="H353">
        <v>3</v>
      </c>
      <c r="I353">
        <f t="shared" si="22"/>
        <v>0</v>
      </c>
      <c r="J353" t="s">
        <v>125</v>
      </c>
      <c r="K353">
        <v>0</v>
      </c>
      <c r="L353" t="str">
        <f t="shared" si="23"/>
        <v>Weekend</v>
      </c>
      <c r="M353">
        <v>1</v>
      </c>
      <c r="N353" t="str" cm="1">
        <f t="array" ref="N353">_xlfn.IFS(M353=1,"Sunny Day",M353=2,"Cloudy Day",M353=3,"Rainy Day",M353=4,"Heavy Rain")</f>
        <v>Sunny Day</v>
      </c>
      <c r="O353">
        <v>0.22</v>
      </c>
      <c r="P353">
        <v>0.2727</v>
      </c>
      <c r="Q353">
        <v>0.69</v>
      </c>
      <c r="R353">
        <v>0</v>
      </c>
      <c r="S353">
        <v>9</v>
      </c>
      <c r="T353">
        <v>6</v>
      </c>
      <c r="U353">
        <v>15</v>
      </c>
    </row>
    <row r="354" spans="1:21" x14ac:dyDescent="0.3">
      <c r="A354">
        <v>353</v>
      </c>
      <c r="B354" t="s">
        <v>35</v>
      </c>
      <c r="C354" t="str">
        <f t="shared" si="21"/>
        <v>16-Jan-2011</v>
      </c>
      <c r="D354">
        <v>1</v>
      </c>
      <c r="E354">
        <v>0</v>
      </c>
      <c r="F354">
        <v>1</v>
      </c>
      <c r="G354" t="str">
        <f t="shared" si="20"/>
        <v>Jan</v>
      </c>
      <c r="H354">
        <v>4</v>
      </c>
      <c r="I354">
        <f t="shared" si="22"/>
        <v>0</v>
      </c>
      <c r="J354" t="s">
        <v>125</v>
      </c>
      <c r="K354">
        <v>0</v>
      </c>
      <c r="L354" t="str">
        <f t="shared" si="23"/>
        <v>Weekend</v>
      </c>
      <c r="M354">
        <v>1</v>
      </c>
      <c r="N354" t="str" cm="1">
        <f t="array" ref="N354">_xlfn.IFS(M354=1,"Sunny Day",M354=2,"Cloudy Day",M354=3,"Rainy Day",M354=4,"Heavy Rain")</f>
        <v>Sunny Day</v>
      </c>
      <c r="O354">
        <v>0.26</v>
      </c>
      <c r="P354">
        <v>0.2576</v>
      </c>
      <c r="Q354">
        <v>0.56000000000000005</v>
      </c>
      <c r="R354">
        <v>0.16420000000000001</v>
      </c>
      <c r="S354">
        <v>0</v>
      </c>
      <c r="T354">
        <v>1</v>
      </c>
      <c r="U354">
        <v>1</v>
      </c>
    </row>
    <row r="355" spans="1:21" x14ac:dyDescent="0.3">
      <c r="A355">
        <v>354</v>
      </c>
      <c r="B355" t="s">
        <v>35</v>
      </c>
      <c r="C355" t="str">
        <f t="shared" si="21"/>
        <v>16-Jan-2011</v>
      </c>
      <c r="D355">
        <v>1</v>
      </c>
      <c r="E355">
        <v>0</v>
      </c>
      <c r="F355">
        <v>1</v>
      </c>
      <c r="G355" t="str">
        <f t="shared" si="20"/>
        <v>Jan</v>
      </c>
      <c r="H355">
        <v>5</v>
      </c>
      <c r="I355">
        <f t="shared" si="22"/>
        <v>0</v>
      </c>
      <c r="J355" t="s">
        <v>125</v>
      </c>
      <c r="K355">
        <v>0</v>
      </c>
      <c r="L355" t="str">
        <f t="shared" si="23"/>
        <v>Weekend</v>
      </c>
      <c r="M355">
        <v>2</v>
      </c>
      <c r="N355" t="str" cm="1">
        <f t="array" ref="N355">_xlfn.IFS(M355=1,"Sunny Day",M355=2,"Cloudy Day",M355=3,"Rainy Day",M355=4,"Heavy Rain")</f>
        <v>Cloudy Day</v>
      </c>
      <c r="O355">
        <v>0.26</v>
      </c>
      <c r="P355">
        <v>0.2576</v>
      </c>
      <c r="Q355">
        <v>0.56000000000000005</v>
      </c>
      <c r="R355">
        <v>0.16420000000000001</v>
      </c>
      <c r="S355">
        <v>1</v>
      </c>
      <c r="T355">
        <v>1</v>
      </c>
      <c r="U355">
        <v>2</v>
      </c>
    </row>
    <row r="356" spans="1:21" x14ac:dyDescent="0.3">
      <c r="A356">
        <v>355</v>
      </c>
      <c r="B356" t="s">
        <v>35</v>
      </c>
      <c r="C356" t="str">
        <f t="shared" si="21"/>
        <v>16-Jan-2011</v>
      </c>
      <c r="D356">
        <v>1</v>
      </c>
      <c r="E356">
        <v>0</v>
      </c>
      <c r="F356">
        <v>1</v>
      </c>
      <c r="G356" t="str">
        <f t="shared" si="20"/>
        <v>Jan</v>
      </c>
      <c r="H356">
        <v>6</v>
      </c>
      <c r="I356">
        <f t="shared" si="22"/>
        <v>0</v>
      </c>
      <c r="J356" t="s">
        <v>125</v>
      </c>
      <c r="K356">
        <v>0</v>
      </c>
      <c r="L356" t="str">
        <f t="shared" si="23"/>
        <v>Weekend</v>
      </c>
      <c r="M356">
        <v>2</v>
      </c>
      <c r="N356" t="str" cm="1">
        <f t="array" ref="N356">_xlfn.IFS(M356=1,"Sunny Day",M356=2,"Cloudy Day",M356=3,"Rainy Day",M356=4,"Heavy Rain")</f>
        <v>Cloudy Day</v>
      </c>
      <c r="O356">
        <v>0.26</v>
      </c>
      <c r="P356">
        <v>0.2576</v>
      </c>
      <c r="Q356">
        <v>0.56000000000000005</v>
      </c>
      <c r="R356">
        <v>0.16420000000000001</v>
      </c>
      <c r="S356">
        <v>0</v>
      </c>
      <c r="T356">
        <v>1</v>
      </c>
      <c r="U356">
        <v>1</v>
      </c>
    </row>
    <row r="357" spans="1:21" x14ac:dyDescent="0.3">
      <c r="A357">
        <v>356</v>
      </c>
      <c r="B357" t="s">
        <v>35</v>
      </c>
      <c r="C357" t="str">
        <f t="shared" si="21"/>
        <v>16-Jan-2011</v>
      </c>
      <c r="D357">
        <v>1</v>
      </c>
      <c r="E357">
        <v>0</v>
      </c>
      <c r="F357">
        <v>1</v>
      </c>
      <c r="G357" t="str">
        <f t="shared" si="20"/>
        <v>Jan</v>
      </c>
      <c r="H357">
        <v>7</v>
      </c>
      <c r="I357">
        <f t="shared" si="22"/>
        <v>0</v>
      </c>
      <c r="J357" t="s">
        <v>125</v>
      </c>
      <c r="K357">
        <v>0</v>
      </c>
      <c r="L357" t="str">
        <f t="shared" si="23"/>
        <v>Weekend</v>
      </c>
      <c r="M357">
        <v>2</v>
      </c>
      <c r="N357" t="str" cm="1">
        <f t="array" ref="N357">_xlfn.IFS(M357=1,"Sunny Day",M357=2,"Cloudy Day",M357=3,"Rainy Day",M357=4,"Heavy Rain")</f>
        <v>Cloudy Day</v>
      </c>
      <c r="O357">
        <v>0.24</v>
      </c>
      <c r="P357">
        <v>0.21210000000000001</v>
      </c>
      <c r="Q357">
        <v>0.56000000000000005</v>
      </c>
      <c r="R357">
        <v>0.29849999999999999</v>
      </c>
      <c r="S357">
        <v>0</v>
      </c>
      <c r="T357">
        <v>3</v>
      </c>
      <c r="U357">
        <v>3</v>
      </c>
    </row>
    <row r="358" spans="1:21" x14ac:dyDescent="0.3">
      <c r="A358">
        <v>357</v>
      </c>
      <c r="B358" t="s">
        <v>35</v>
      </c>
      <c r="C358" t="str">
        <f t="shared" si="21"/>
        <v>16-Jan-2011</v>
      </c>
      <c r="D358">
        <v>1</v>
      </c>
      <c r="E358">
        <v>0</v>
      </c>
      <c r="F358">
        <v>1</v>
      </c>
      <c r="G358" t="str">
        <f t="shared" si="20"/>
        <v>Jan</v>
      </c>
      <c r="H358">
        <v>8</v>
      </c>
      <c r="I358">
        <f t="shared" si="22"/>
        <v>0</v>
      </c>
      <c r="J358" t="s">
        <v>125</v>
      </c>
      <c r="K358">
        <v>0</v>
      </c>
      <c r="L358" t="str">
        <f t="shared" si="23"/>
        <v>Weekend</v>
      </c>
      <c r="M358">
        <v>1</v>
      </c>
      <c r="N358" t="str" cm="1">
        <f t="array" ref="N358">_xlfn.IFS(M358=1,"Sunny Day",M358=2,"Cloudy Day",M358=3,"Rainy Day",M358=4,"Heavy Rain")</f>
        <v>Sunny Day</v>
      </c>
      <c r="O358">
        <v>0.22</v>
      </c>
      <c r="P358">
        <v>0.21210000000000001</v>
      </c>
      <c r="Q358">
        <v>0.55000000000000004</v>
      </c>
      <c r="R358">
        <v>0.28360000000000002</v>
      </c>
      <c r="S358">
        <v>0</v>
      </c>
      <c r="T358">
        <v>18</v>
      </c>
      <c r="U358">
        <v>18</v>
      </c>
    </row>
    <row r="359" spans="1:21" x14ac:dyDescent="0.3">
      <c r="A359">
        <v>358</v>
      </c>
      <c r="B359" t="s">
        <v>35</v>
      </c>
      <c r="C359" t="str">
        <f t="shared" si="21"/>
        <v>16-Jan-2011</v>
      </c>
      <c r="D359">
        <v>1</v>
      </c>
      <c r="E359">
        <v>0</v>
      </c>
      <c r="F359">
        <v>1</v>
      </c>
      <c r="G359" t="str">
        <f t="shared" si="20"/>
        <v>Jan</v>
      </c>
      <c r="H359">
        <v>9</v>
      </c>
      <c r="I359">
        <f t="shared" si="22"/>
        <v>0</v>
      </c>
      <c r="J359" t="s">
        <v>125</v>
      </c>
      <c r="K359">
        <v>0</v>
      </c>
      <c r="L359" t="str">
        <f t="shared" si="23"/>
        <v>Weekend</v>
      </c>
      <c r="M359">
        <v>1</v>
      </c>
      <c r="N359" t="str" cm="1">
        <f t="array" ref="N359">_xlfn.IFS(M359=1,"Sunny Day",M359=2,"Cloudy Day",M359=3,"Rainy Day",M359=4,"Heavy Rain")</f>
        <v>Sunny Day</v>
      </c>
      <c r="O359">
        <v>0.22</v>
      </c>
      <c r="P359">
        <v>0.21210000000000001</v>
      </c>
      <c r="Q359">
        <v>0.51</v>
      </c>
      <c r="R359">
        <v>0.25369999999999998</v>
      </c>
      <c r="S359">
        <v>3</v>
      </c>
      <c r="T359">
        <v>29</v>
      </c>
      <c r="U359">
        <v>32</v>
      </c>
    </row>
    <row r="360" spans="1:21" x14ac:dyDescent="0.3">
      <c r="A360">
        <v>359</v>
      </c>
      <c r="B360" t="s">
        <v>35</v>
      </c>
      <c r="C360" t="str">
        <f t="shared" si="21"/>
        <v>16-Jan-2011</v>
      </c>
      <c r="D360">
        <v>1</v>
      </c>
      <c r="E360">
        <v>0</v>
      </c>
      <c r="F360">
        <v>1</v>
      </c>
      <c r="G360" t="str">
        <f t="shared" si="20"/>
        <v>Jan</v>
      </c>
      <c r="H360">
        <v>10</v>
      </c>
      <c r="I360">
        <f t="shared" si="22"/>
        <v>0</v>
      </c>
      <c r="J360" t="s">
        <v>125</v>
      </c>
      <c r="K360">
        <v>0</v>
      </c>
      <c r="L360" t="str">
        <f t="shared" si="23"/>
        <v>Weekend</v>
      </c>
      <c r="M360">
        <v>1</v>
      </c>
      <c r="N360" t="str" cm="1">
        <f t="array" ref="N360">_xlfn.IFS(M360=1,"Sunny Day",M360=2,"Cloudy Day",M360=3,"Rainy Day",M360=4,"Heavy Rain")</f>
        <v>Sunny Day</v>
      </c>
      <c r="O360">
        <v>0.22</v>
      </c>
      <c r="P360">
        <v>0.21210000000000001</v>
      </c>
      <c r="Q360">
        <v>0.51</v>
      </c>
      <c r="R360">
        <v>0.28360000000000002</v>
      </c>
      <c r="S360">
        <v>8</v>
      </c>
      <c r="T360">
        <v>71</v>
      </c>
      <c r="U360">
        <v>79</v>
      </c>
    </row>
    <row r="361" spans="1:21" x14ac:dyDescent="0.3">
      <c r="A361">
        <v>360</v>
      </c>
      <c r="B361" t="s">
        <v>35</v>
      </c>
      <c r="C361" t="str">
        <f t="shared" si="21"/>
        <v>16-Jan-2011</v>
      </c>
      <c r="D361">
        <v>1</v>
      </c>
      <c r="E361">
        <v>0</v>
      </c>
      <c r="F361">
        <v>1</v>
      </c>
      <c r="G361" t="str">
        <f t="shared" si="20"/>
        <v>Jan</v>
      </c>
      <c r="H361">
        <v>11</v>
      </c>
      <c r="I361">
        <f t="shared" si="22"/>
        <v>1</v>
      </c>
      <c r="J361" t="s">
        <v>125</v>
      </c>
      <c r="K361">
        <v>0</v>
      </c>
      <c r="L361" t="str">
        <f t="shared" si="23"/>
        <v>Weekend</v>
      </c>
      <c r="M361">
        <v>1</v>
      </c>
      <c r="N361" t="str" cm="1">
        <f t="array" ref="N361">_xlfn.IFS(M361=1,"Sunny Day",M361=2,"Cloudy Day",M361=3,"Rainy Day",M361=4,"Heavy Rain")</f>
        <v>Sunny Day</v>
      </c>
      <c r="O361">
        <v>0.24</v>
      </c>
      <c r="P361">
        <v>0.2273</v>
      </c>
      <c r="Q361">
        <v>0.44</v>
      </c>
      <c r="R361">
        <v>0.25369999999999998</v>
      </c>
      <c r="S361">
        <v>23</v>
      </c>
      <c r="T361">
        <v>70</v>
      </c>
      <c r="U361">
        <v>93</v>
      </c>
    </row>
    <row r="362" spans="1:21" x14ac:dyDescent="0.3">
      <c r="A362">
        <v>361</v>
      </c>
      <c r="B362" t="s">
        <v>35</v>
      </c>
      <c r="C362" t="str">
        <f t="shared" si="21"/>
        <v>16-Jan-2011</v>
      </c>
      <c r="D362">
        <v>1</v>
      </c>
      <c r="E362">
        <v>0</v>
      </c>
      <c r="F362">
        <v>1</v>
      </c>
      <c r="G362" t="str">
        <f t="shared" si="20"/>
        <v>Jan</v>
      </c>
      <c r="H362">
        <v>12</v>
      </c>
      <c r="I362">
        <f t="shared" si="22"/>
        <v>1</v>
      </c>
      <c r="J362" t="s">
        <v>125</v>
      </c>
      <c r="K362">
        <v>0</v>
      </c>
      <c r="L362" t="str">
        <f t="shared" si="23"/>
        <v>Weekend</v>
      </c>
      <c r="M362">
        <v>1</v>
      </c>
      <c r="N362" t="str" cm="1">
        <f t="array" ref="N362">_xlfn.IFS(M362=1,"Sunny Day",M362=2,"Cloudy Day",M362=3,"Rainy Day",M362=4,"Heavy Rain")</f>
        <v>Sunny Day</v>
      </c>
      <c r="O362">
        <v>0.24</v>
      </c>
      <c r="P362">
        <v>0.21210000000000001</v>
      </c>
      <c r="Q362">
        <v>0.41</v>
      </c>
      <c r="R362">
        <v>0.28360000000000002</v>
      </c>
      <c r="S362">
        <v>29</v>
      </c>
      <c r="T362">
        <v>75</v>
      </c>
      <c r="U362">
        <v>104</v>
      </c>
    </row>
    <row r="363" spans="1:21" x14ac:dyDescent="0.3">
      <c r="A363">
        <v>362</v>
      </c>
      <c r="B363" t="s">
        <v>35</v>
      </c>
      <c r="C363" t="str">
        <f t="shared" si="21"/>
        <v>16-Jan-2011</v>
      </c>
      <c r="D363">
        <v>1</v>
      </c>
      <c r="E363">
        <v>0</v>
      </c>
      <c r="F363">
        <v>1</v>
      </c>
      <c r="G363" t="str">
        <f t="shared" si="20"/>
        <v>Jan</v>
      </c>
      <c r="H363">
        <v>13</v>
      </c>
      <c r="I363">
        <f t="shared" si="22"/>
        <v>1</v>
      </c>
      <c r="J363" t="s">
        <v>125</v>
      </c>
      <c r="K363">
        <v>0</v>
      </c>
      <c r="L363" t="str">
        <f t="shared" si="23"/>
        <v>Weekend</v>
      </c>
      <c r="M363">
        <v>1</v>
      </c>
      <c r="N363" t="str" cm="1">
        <f t="array" ref="N363">_xlfn.IFS(M363=1,"Sunny Day",M363=2,"Cloudy Day",M363=3,"Rainy Day",M363=4,"Heavy Rain")</f>
        <v>Sunny Day</v>
      </c>
      <c r="O363">
        <v>0.26</v>
      </c>
      <c r="P363">
        <v>0.2273</v>
      </c>
      <c r="Q363">
        <v>0.35</v>
      </c>
      <c r="R363">
        <v>0.29849999999999999</v>
      </c>
      <c r="S363">
        <v>23</v>
      </c>
      <c r="T363">
        <v>95</v>
      </c>
      <c r="U363">
        <v>118</v>
      </c>
    </row>
    <row r="364" spans="1:21" x14ac:dyDescent="0.3">
      <c r="A364">
        <v>363</v>
      </c>
      <c r="B364" t="s">
        <v>35</v>
      </c>
      <c r="C364" t="str">
        <f t="shared" si="21"/>
        <v>16-Jan-2011</v>
      </c>
      <c r="D364">
        <v>1</v>
      </c>
      <c r="E364">
        <v>0</v>
      </c>
      <c r="F364">
        <v>1</v>
      </c>
      <c r="G364" t="str">
        <f t="shared" si="20"/>
        <v>Jan</v>
      </c>
      <c r="H364">
        <v>14</v>
      </c>
      <c r="I364">
        <f t="shared" si="22"/>
        <v>1</v>
      </c>
      <c r="J364" t="s">
        <v>125</v>
      </c>
      <c r="K364">
        <v>0</v>
      </c>
      <c r="L364" t="str">
        <f t="shared" si="23"/>
        <v>Weekend</v>
      </c>
      <c r="M364">
        <v>1</v>
      </c>
      <c r="N364" t="str" cm="1">
        <f t="array" ref="N364">_xlfn.IFS(M364=1,"Sunny Day",M364=2,"Cloudy Day",M364=3,"Rainy Day",M364=4,"Heavy Rain")</f>
        <v>Sunny Day</v>
      </c>
      <c r="O364">
        <v>0.28000000000000003</v>
      </c>
      <c r="P364">
        <v>0.2727</v>
      </c>
      <c r="Q364">
        <v>0.36</v>
      </c>
      <c r="R364">
        <v>0.25369999999999998</v>
      </c>
      <c r="S364">
        <v>22</v>
      </c>
      <c r="T364">
        <v>69</v>
      </c>
      <c r="U364">
        <v>91</v>
      </c>
    </row>
    <row r="365" spans="1:21" x14ac:dyDescent="0.3">
      <c r="A365">
        <v>364</v>
      </c>
      <c r="B365" t="s">
        <v>35</v>
      </c>
      <c r="C365" t="str">
        <f t="shared" si="21"/>
        <v>16-Jan-2011</v>
      </c>
      <c r="D365">
        <v>1</v>
      </c>
      <c r="E365">
        <v>0</v>
      </c>
      <c r="F365">
        <v>1</v>
      </c>
      <c r="G365" t="str">
        <f t="shared" si="20"/>
        <v>Jan</v>
      </c>
      <c r="H365">
        <v>15</v>
      </c>
      <c r="I365">
        <f t="shared" si="22"/>
        <v>1</v>
      </c>
      <c r="J365" t="s">
        <v>125</v>
      </c>
      <c r="K365">
        <v>0</v>
      </c>
      <c r="L365" t="str">
        <f t="shared" si="23"/>
        <v>Weekend</v>
      </c>
      <c r="M365">
        <v>1</v>
      </c>
      <c r="N365" t="str" cm="1">
        <f t="array" ref="N365">_xlfn.IFS(M365=1,"Sunny Day",M365=2,"Cloudy Day",M365=3,"Rainy Day",M365=4,"Heavy Rain")</f>
        <v>Sunny Day</v>
      </c>
      <c r="O365">
        <v>0.26</v>
      </c>
      <c r="P365">
        <v>0.2424</v>
      </c>
      <c r="Q365">
        <v>0.38</v>
      </c>
      <c r="R365">
        <v>0.25369999999999998</v>
      </c>
      <c r="S365">
        <v>35</v>
      </c>
      <c r="T365">
        <v>78</v>
      </c>
      <c r="U365">
        <v>113</v>
      </c>
    </row>
    <row r="366" spans="1:21" x14ac:dyDescent="0.3">
      <c r="A366">
        <v>365</v>
      </c>
      <c r="B366" t="s">
        <v>35</v>
      </c>
      <c r="C366" t="str">
        <f t="shared" si="21"/>
        <v>16-Jan-2011</v>
      </c>
      <c r="D366">
        <v>1</v>
      </c>
      <c r="E366">
        <v>0</v>
      </c>
      <c r="F366">
        <v>1</v>
      </c>
      <c r="G366" t="str">
        <f t="shared" si="20"/>
        <v>Jan</v>
      </c>
      <c r="H366">
        <v>16</v>
      </c>
      <c r="I366">
        <f t="shared" si="22"/>
        <v>1</v>
      </c>
      <c r="J366" t="s">
        <v>125</v>
      </c>
      <c r="K366">
        <v>0</v>
      </c>
      <c r="L366" t="str">
        <f t="shared" si="23"/>
        <v>Weekend</v>
      </c>
      <c r="M366">
        <v>1</v>
      </c>
      <c r="N366" t="str" cm="1">
        <f t="array" ref="N366">_xlfn.IFS(M366=1,"Sunny Day",M366=2,"Cloudy Day",M366=3,"Rainy Day",M366=4,"Heavy Rain")</f>
        <v>Sunny Day</v>
      </c>
      <c r="O366">
        <v>0.24</v>
      </c>
      <c r="P366">
        <v>0.2273</v>
      </c>
      <c r="Q366">
        <v>0.38</v>
      </c>
      <c r="R366">
        <v>0.22389999999999999</v>
      </c>
      <c r="S366">
        <v>22</v>
      </c>
      <c r="T366">
        <v>77</v>
      </c>
      <c r="U366">
        <v>99</v>
      </c>
    </row>
    <row r="367" spans="1:21" x14ac:dyDescent="0.3">
      <c r="A367">
        <v>366</v>
      </c>
      <c r="B367" t="s">
        <v>35</v>
      </c>
      <c r="C367" t="str">
        <f t="shared" si="21"/>
        <v>16-Jan-2011</v>
      </c>
      <c r="D367">
        <v>1</v>
      </c>
      <c r="E367">
        <v>0</v>
      </c>
      <c r="F367">
        <v>1</v>
      </c>
      <c r="G367" t="str">
        <f t="shared" si="20"/>
        <v>Jan</v>
      </c>
      <c r="H367">
        <v>17</v>
      </c>
      <c r="I367">
        <f t="shared" si="22"/>
        <v>1</v>
      </c>
      <c r="J367" t="s">
        <v>125</v>
      </c>
      <c r="K367">
        <v>0</v>
      </c>
      <c r="L367" t="str">
        <f t="shared" si="23"/>
        <v>Weekend</v>
      </c>
      <c r="M367">
        <v>1</v>
      </c>
      <c r="N367" t="str" cm="1">
        <f t="array" ref="N367">_xlfn.IFS(M367=1,"Sunny Day",M367=2,"Cloudy Day",M367=3,"Rainy Day",M367=4,"Heavy Rain")</f>
        <v>Sunny Day</v>
      </c>
      <c r="O367">
        <v>0.22</v>
      </c>
      <c r="P367">
        <v>0.21210000000000001</v>
      </c>
      <c r="Q367">
        <v>0.37</v>
      </c>
      <c r="R367">
        <v>0.25369999999999998</v>
      </c>
      <c r="S367">
        <v>23</v>
      </c>
      <c r="T367">
        <v>82</v>
      </c>
      <c r="U367">
        <v>105</v>
      </c>
    </row>
    <row r="368" spans="1:21" x14ac:dyDescent="0.3">
      <c r="A368">
        <v>367</v>
      </c>
      <c r="B368" t="s">
        <v>35</v>
      </c>
      <c r="C368" t="str">
        <f t="shared" si="21"/>
        <v>16-Jan-2011</v>
      </c>
      <c r="D368">
        <v>1</v>
      </c>
      <c r="E368">
        <v>0</v>
      </c>
      <c r="F368">
        <v>1</v>
      </c>
      <c r="G368" t="str">
        <f t="shared" si="20"/>
        <v>Jan</v>
      </c>
      <c r="H368">
        <v>18</v>
      </c>
      <c r="I368">
        <f t="shared" si="22"/>
        <v>1</v>
      </c>
      <c r="J368" t="s">
        <v>125</v>
      </c>
      <c r="K368">
        <v>0</v>
      </c>
      <c r="L368" t="str">
        <f t="shared" si="23"/>
        <v>Weekend</v>
      </c>
      <c r="M368">
        <v>1</v>
      </c>
      <c r="N368" t="str" cm="1">
        <f t="array" ref="N368">_xlfn.IFS(M368=1,"Sunny Day",M368=2,"Cloudy Day",M368=3,"Rainy Day",M368=4,"Heavy Rain")</f>
        <v>Sunny Day</v>
      </c>
      <c r="O368">
        <v>0.2</v>
      </c>
      <c r="P368">
        <v>0.21210000000000001</v>
      </c>
      <c r="Q368">
        <v>0.4</v>
      </c>
      <c r="R368">
        <v>0.16420000000000001</v>
      </c>
      <c r="S368">
        <v>11</v>
      </c>
      <c r="T368">
        <v>56</v>
      </c>
      <c r="U368">
        <v>67</v>
      </c>
    </row>
    <row r="369" spans="1:21" x14ac:dyDescent="0.3">
      <c r="A369">
        <v>368</v>
      </c>
      <c r="B369" t="s">
        <v>35</v>
      </c>
      <c r="C369" t="str">
        <f t="shared" si="21"/>
        <v>16-Jan-2011</v>
      </c>
      <c r="D369">
        <v>1</v>
      </c>
      <c r="E369">
        <v>0</v>
      </c>
      <c r="F369">
        <v>1</v>
      </c>
      <c r="G369" t="str">
        <f t="shared" si="20"/>
        <v>Jan</v>
      </c>
      <c r="H369">
        <v>19</v>
      </c>
      <c r="I369">
        <f t="shared" si="22"/>
        <v>1</v>
      </c>
      <c r="J369" t="s">
        <v>125</v>
      </c>
      <c r="K369">
        <v>0</v>
      </c>
      <c r="L369" t="str">
        <f t="shared" si="23"/>
        <v>Weekend</v>
      </c>
      <c r="M369">
        <v>1</v>
      </c>
      <c r="N369" t="str" cm="1">
        <f t="array" ref="N369">_xlfn.IFS(M369=1,"Sunny Day",M369=2,"Cloudy Day",M369=3,"Rainy Day",M369=4,"Heavy Rain")</f>
        <v>Sunny Day</v>
      </c>
      <c r="O369">
        <v>0.18</v>
      </c>
      <c r="P369">
        <v>0.19700000000000001</v>
      </c>
      <c r="Q369">
        <v>0.47</v>
      </c>
      <c r="R369">
        <v>0.1343</v>
      </c>
      <c r="S369">
        <v>14</v>
      </c>
      <c r="T369">
        <v>47</v>
      </c>
      <c r="U369">
        <v>61</v>
      </c>
    </row>
    <row r="370" spans="1:21" x14ac:dyDescent="0.3">
      <c r="A370">
        <v>369</v>
      </c>
      <c r="B370" t="s">
        <v>35</v>
      </c>
      <c r="C370" t="str">
        <f t="shared" si="21"/>
        <v>16-Jan-2011</v>
      </c>
      <c r="D370">
        <v>1</v>
      </c>
      <c r="E370">
        <v>0</v>
      </c>
      <c r="F370">
        <v>1</v>
      </c>
      <c r="G370" t="str">
        <f t="shared" si="20"/>
        <v>Jan</v>
      </c>
      <c r="H370">
        <v>20</v>
      </c>
      <c r="I370">
        <f t="shared" si="22"/>
        <v>1</v>
      </c>
      <c r="J370" t="s">
        <v>125</v>
      </c>
      <c r="K370">
        <v>0</v>
      </c>
      <c r="L370" t="str">
        <f t="shared" si="23"/>
        <v>Weekend</v>
      </c>
      <c r="M370">
        <v>1</v>
      </c>
      <c r="N370" t="str" cm="1">
        <f t="array" ref="N370">_xlfn.IFS(M370=1,"Sunny Day",M370=2,"Cloudy Day",M370=3,"Rainy Day",M370=4,"Heavy Rain")</f>
        <v>Sunny Day</v>
      </c>
      <c r="O370">
        <v>0.18</v>
      </c>
      <c r="P370">
        <v>0.19700000000000001</v>
      </c>
      <c r="Q370">
        <v>0.47</v>
      </c>
      <c r="R370">
        <v>0.16420000000000001</v>
      </c>
      <c r="S370">
        <v>7</v>
      </c>
      <c r="T370">
        <v>50</v>
      </c>
      <c r="U370">
        <v>57</v>
      </c>
    </row>
    <row r="371" spans="1:21" x14ac:dyDescent="0.3">
      <c r="A371">
        <v>370</v>
      </c>
      <c r="B371" t="s">
        <v>35</v>
      </c>
      <c r="C371" t="str">
        <f t="shared" si="21"/>
        <v>16-Jan-2011</v>
      </c>
      <c r="D371">
        <v>1</v>
      </c>
      <c r="E371">
        <v>0</v>
      </c>
      <c r="F371">
        <v>1</v>
      </c>
      <c r="G371" t="str">
        <f t="shared" si="20"/>
        <v>Jan</v>
      </c>
      <c r="H371">
        <v>21</v>
      </c>
      <c r="I371">
        <f t="shared" si="22"/>
        <v>1</v>
      </c>
      <c r="J371" t="s">
        <v>125</v>
      </c>
      <c r="K371">
        <v>0</v>
      </c>
      <c r="L371" t="str">
        <f t="shared" si="23"/>
        <v>Weekend</v>
      </c>
      <c r="M371">
        <v>1</v>
      </c>
      <c r="N371" t="str" cm="1">
        <f t="array" ref="N371">_xlfn.IFS(M371=1,"Sunny Day",M371=2,"Cloudy Day",M371=3,"Rainy Day",M371=4,"Heavy Rain")</f>
        <v>Sunny Day</v>
      </c>
      <c r="O371">
        <v>0.18</v>
      </c>
      <c r="P371">
        <v>0.19700000000000001</v>
      </c>
      <c r="Q371">
        <v>0.51</v>
      </c>
      <c r="R371">
        <v>0.16420000000000001</v>
      </c>
      <c r="S371">
        <v>6</v>
      </c>
      <c r="T371">
        <v>22</v>
      </c>
      <c r="U371">
        <v>28</v>
      </c>
    </row>
    <row r="372" spans="1:21" x14ac:dyDescent="0.3">
      <c r="A372">
        <v>371</v>
      </c>
      <c r="B372" t="s">
        <v>35</v>
      </c>
      <c r="C372" t="str">
        <f t="shared" si="21"/>
        <v>16-Jan-2011</v>
      </c>
      <c r="D372">
        <v>1</v>
      </c>
      <c r="E372">
        <v>0</v>
      </c>
      <c r="F372">
        <v>1</v>
      </c>
      <c r="G372" t="str">
        <f t="shared" si="20"/>
        <v>Jan</v>
      </c>
      <c r="H372">
        <v>22</v>
      </c>
      <c r="I372">
        <f t="shared" si="22"/>
        <v>1</v>
      </c>
      <c r="J372" t="s">
        <v>125</v>
      </c>
      <c r="K372">
        <v>0</v>
      </c>
      <c r="L372" t="str">
        <f t="shared" si="23"/>
        <v>Weekend</v>
      </c>
      <c r="M372">
        <v>2</v>
      </c>
      <c r="N372" t="str" cm="1">
        <f t="array" ref="N372">_xlfn.IFS(M372=1,"Sunny Day",M372=2,"Cloudy Day",M372=3,"Rainy Day",M372=4,"Heavy Rain")</f>
        <v>Cloudy Day</v>
      </c>
      <c r="O372">
        <v>0.2</v>
      </c>
      <c r="P372">
        <v>0.21210000000000001</v>
      </c>
      <c r="Q372">
        <v>0.49</v>
      </c>
      <c r="R372">
        <v>0.1343</v>
      </c>
      <c r="S372">
        <v>2</v>
      </c>
      <c r="T372">
        <v>19</v>
      </c>
      <c r="U372">
        <v>21</v>
      </c>
    </row>
    <row r="373" spans="1:21" x14ac:dyDescent="0.3">
      <c r="A373">
        <v>372</v>
      </c>
      <c r="B373" t="s">
        <v>35</v>
      </c>
      <c r="C373" t="str">
        <f t="shared" si="21"/>
        <v>16-Jan-2011</v>
      </c>
      <c r="D373">
        <v>1</v>
      </c>
      <c r="E373">
        <v>0</v>
      </c>
      <c r="F373">
        <v>1</v>
      </c>
      <c r="G373" t="str">
        <f t="shared" si="20"/>
        <v>Jan</v>
      </c>
      <c r="H373">
        <v>23</v>
      </c>
      <c r="I373">
        <f t="shared" si="22"/>
        <v>1</v>
      </c>
      <c r="J373" t="s">
        <v>125</v>
      </c>
      <c r="K373">
        <v>0</v>
      </c>
      <c r="L373" t="str">
        <f t="shared" si="23"/>
        <v>Weekend</v>
      </c>
      <c r="M373">
        <v>2</v>
      </c>
      <c r="N373" t="str" cm="1">
        <f t="array" ref="N373">_xlfn.IFS(M373=1,"Sunny Day",M373=2,"Cloudy Day",M373=3,"Rainy Day",M373=4,"Heavy Rain")</f>
        <v>Cloudy Day</v>
      </c>
      <c r="O373">
        <v>0.2</v>
      </c>
      <c r="P373">
        <v>0.2273</v>
      </c>
      <c r="Q373">
        <v>0.4</v>
      </c>
      <c r="R373">
        <v>0.1045</v>
      </c>
      <c r="S373">
        <v>0</v>
      </c>
      <c r="T373">
        <v>18</v>
      </c>
      <c r="U373">
        <v>18</v>
      </c>
    </row>
    <row r="374" spans="1:21" x14ac:dyDescent="0.3">
      <c r="A374">
        <v>373</v>
      </c>
      <c r="B374" t="s">
        <v>37</v>
      </c>
      <c r="C374" t="str">
        <f t="shared" si="21"/>
        <v>17-Jan-2011</v>
      </c>
      <c r="D374">
        <v>1</v>
      </c>
      <c r="E374">
        <v>0</v>
      </c>
      <c r="F374">
        <v>1</v>
      </c>
      <c r="G374" t="str">
        <f t="shared" si="20"/>
        <v>Jan</v>
      </c>
      <c r="H374">
        <v>0</v>
      </c>
      <c r="I374">
        <f t="shared" si="22"/>
        <v>0</v>
      </c>
      <c r="J374" t="s">
        <v>126</v>
      </c>
      <c r="K374">
        <v>1</v>
      </c>
      <c r="L374" t="str">
        <f t="shared" si="23"/>
        <v>Weekday</v>
      </c>
      <c r="M374">
        <v>2</v>
      </c>
      <c r="N374" t="str" cm="1">
        <f t="array" ref="N374">_xlfn.IFS(M374=1,"Sunny Day",M374=2,"Cloudy Day",M374=3,"Rainy Day",M374=4,"Heavy Rain")</f>
        <v>Cloudy Day</v>
      </c>
      <c r="O374">
        <v>0.2</v>
      </c>
      <c r="P374">
        <v>0.19700000000000001</v>
      </c>
      <c r="Q374">
        <v>0.47</v>
      </c>
      <c r="R374">
        <v>0.22389999999999999</v>
      </c>
      <c r="S374">
        <v>1</v>
      </c>
      <c r="T374">
        <v>16</v>
      </c>
      <c r="U374">
        <v>17</v>
      </c>
    </row>
    <row r="375" spans="1:21" x14ac:dyDescent="0.3">
      <c r="A375">
        <v>374</v>
      </c>
      <c r="B375" t="s">
        <v>37</v>
      </c>
      <c r="C375" t="str">
        <f t="shared" si="21"/>
        <v>17-Jan-2011</v>
      </c>
      <c r="D375">
        <v>1</v>
      </c>
      <c r="E375">
        <v>0</v>
      </c>
      <c r="F375">
        <v>1</v>
      </c>
      <c r="G375" t="str">
        <f t="shared" si="20"/>
        <v>Jan</v>
      </c>
      <c r="H375">
        <v>1</v>
      </c>
      <c r="I375">
        <f t="shared" si="22"/>
        <v>0</v>
      </c>
      <c r="J375" t="s">
        <v>126</v>
      </c>
      <c r="K375">
        <v>1</v>
      </c>
      <c r="L375" t="str">
        <f t="shared" si="23"/>
        <v>Weekday</v>
      </c>
      <c r="M375">
        <v>2</v>
      </c>
      <c r="N375" t="str" cm="1">
        <f t="array" ref="N375">_xlfn.IFS(M375=1,"Sunny Day",M375=2,"Cloudy Day",M375=3,"Rainy Day",M375=4,"Heavy Rain")</f>
        <v>Cloudy Day</v>
      </c>
      <c r="O375">
        <v>0.2</v>
      </c>
      <c r="P375">
        <v>0.19700000000000001</v>
      </c>
      <c r="Q375">
        <v>0.44</v>
      </c>
      <c r="R375">
        <v>0.19400000000000001</v>
      </c>
      <c r="S375">
        <v>1</v>
      </c>
      <c r="T375">
        <v>15</v>
      </c>
      <c r="U375">
        <v>16</v>
      </c>
    </row>
    <row r="376" spans="1:21" x14ac:dyDescent="0.3">
      <c r="A376">
        <v>375</v>
      </c>
      <c r="B376" t="s">
        <v>37</v>
      </c>
      <c r="C376" t="str">
        <f t="shared" si="21"/>
        <v>17-Jan-2011</v>
      </c>
      <c r="D376">
        <v>1</v>
      </c>
      <c r="E376">
        <v>0</v>
      </c>
      <c r="F376">
        <v>1</v>
      </c>
      <c r="G376" t="str">
        <f t="shared" si="20"/>
        <v>Jan</v>
      </c>
      <c r="H376">
        <v>2</v>
      </c>
      <c r="I376">
        <f t="shared" si="22"/>
        <v>0</v>
      </c>
      <c r="J376" t="s">
        <v>126</v>
      </c>
      <c r="K376">
        <v>1</v>
      </c>
      <c r="L376" t="str">
        <f t="shared" si="23"/>
        <v>Weekday</v>
      </c>
      <c r="M376">
        <v>2</v>
      </c>
      <c r="N376" t="str" cm="1">
        <f t="array" ref="N376">_xlfn.IFS(M376=1,"Sunny Day",M376=2,"Cloudy Day",M376=3,"Rainy Day",M376=4,"Heavy Rain")</f>
        <v>Cloudy Day</v>
      </c>
      <c r="O376">
        <v>0.18</v>
      </c>
      <c r="P376">
        <v>0.16669999999999999</v>
      </c>
      <c r="Q376">
        <v>0.43</v>
      </c>
      <c r="R376">
        <v>0.25369999999999998</v>
      </c>
      <c r="S376">
        <v>0</v>
      </c>
      <c r="T376">
        <v>8</v>
      </c>
      <c r="U376">
        <v>8</v>
      </c>
    </row>
    <row r="377" spans="1:21" x14ac:dyDescent="0.3">
      <c r="A377">
        <v>376</v>
      </c>
      <c r="B377" t="s">
        <v>37</v>
      </c>
      <c r="C377" t="str">
        <f t="shared" si="21"/>
        <v>17-Jan-2011</v>
      </c>
      <c r="D377">
        <v>1</v>
      </c>
      <c r="E377">
        <v>0</v>
      </c>
      <c r="F377">
        <v>1</v>
      </c>
      <c r="G377" t="str">
        <f t="shared" si="20"/>
        <v>Jan</v>
      </c>
      <c r="H377">
        <v>3</v>
      </c>
      <c r="I377">
        <f t="shared" si="22"/>
        <v>0</v>
      </c>
      <c r="J377" t="s">
        <v>126</v>
      </c>
      <c r="K377">
        <v>1</v>
      </c>
      <c r="L377" t="str">
        <f t="shared" si="23"/>
        <v>Weekday</v>
      </c>
      <c r="M377">
        <v>2</v>
      </c>
      <c r="N377" t="str" cm="1">
        <f t="array" ref="N377">_xlfn.IFS(M377=1,"Sunny Day",M377=2,"Cloudy Day",M377=3,"Rainy Day",M377=4,"Heavy Rain")</f>
        <v>Cloudy Day</v>
      </c>
      <c r="O377">
        <v>0.18</v>
      </c>
      <c r="P377">
        <v>0.18179999999999999</v>
      </c>
      <c r="Q377">
        <v>0.43</v>
      </c>
      <c r="R377">
        <v>0.19400000000000001</v>
      </c>
      <c r="S377">
        <v>0</v>
      </c>
      <c r="T377">
        <v>2</v>
      </c>
      <c r="U377">
        <v>2</v>
      </c>
    </row>
    <row r="378" spans="1:21" x14ac:dyDescent="0.3">
      <c r="A378">
        <v>377</v>
      </c>
      <c r="B378" t="s">
        <v>37</v>
      </c>
      <c r="C378" t="str">
        <f t="shared" si="21"/>
        <v>17-Jan-2011</v>
      </c>
      <c r="D378">
        <v>1</v>
      </c>
      <c r="E378">
        <v>0</v>
      </c>
      <c r="F378">
        <v>1</v>
      </c>
      <c r="G378" t="str">
        <f t="shared" si="20"/>
        <v>Jan</v>
      </c>
      <c r="H378">
        <v>4</v>
      </c>
      <c r="I378">
        <f t="shared" si="22"/>
        <v>0</v>
      </c>
      <c r="J378" t="s">
        <v>126</v>
      </c>
      <c r="K378">
        <v>1</v>
      </c>
      <c r="L378" t="str">
        <f t="shared" si="23"/>
        <v>Weekday</v>
      </c>
      <c r="M378">
        <v>2</v>
      </c>
      <c r="N378" t="str" cm="1">
        <f t="array" ref="N378">_xlfn.IFS(M378=1,"Sunny Day",M378=2,"Cloudy Day",M378=3,"Rainy Day",M378=4,"Heavy Rain")</f>
        <v>Cloudy Day</v>
      </c>
      <c r="O378">
        <v>0.18</v>
      </c>
      <c r="P378">
        <v>0.19700000000000001</v>
      </c>
      <c r="Q378">
        <v>0.43</v>
      </c>
      <c r="R378">
        <v>0.1343</v>
      </c>
      <c r="S378">
        <v>1</v>
      </c>
      <c r="T378">
        <v>2</v>
      </c>
      <c r="U378">
        <v>3</v>
      </c>
    </row>
    <row r="379" spans="1:21" x14ac:dyDescent="0.3">
      <c r="A379">
        <v>378</v>
      </c>
      <c r="B379" t="s">
        <v>37</v>
      </c>
      <c r="C379" t="str">
        <f t="shared" si="21"/>
        <v>17-Jan-2011</v>
      </c>
      <c r="D379">
        <v>1</v>
      </c>
      <c r="E379">
        <v>0</v>
      </c>
      <c r="F379">
        <v>1</v>
      </c>
      <c r="G379" t="str">
        <f t="shared" si="20"/>
        <v>Jan</v>
      </c>
      <c r="H379">
        <v>5</v>
      </c>
      <c r="I379">
        <f t="shared" si="22"/>
        <v>0</v>
      </c>
      <c r="J379" t="s">
        <v>126</v>
      </c>
      <c r="K379">
        <v>1</v>
      </c>
      <c r="L379" t="str">
        <f t="shared" si="23"/>
        <v>Weekday</v>
      </c>
      <c r="M379">
        <v>2</v>
      </c>
      <c r="N379" t="str" cm="1">
        <f t="array" ref="N379">_xlfn.IFS(M379=1,"Sunny Day",M379=2,"Cloudy Day",M379=3,"Rainy Day",M379=4,"Heavy Rain")</f>
        <v>Cloudy Day</v>
      </c>
      <c r="O379">
        <v>0.18</v>
      </c>
      <c r="P379">
        <v>0.19700000000000001</v>
      </c>
      <c r="Q379">
        <v>0.43</v>
      </c>
      <c r="R379">
        <v>0.16420000000000001</v>
      </c>
      <c r="S379">
        <v>0</v>
      </c>
      <c r="T379">
        <v>1</v>
      </c>
      <c r="U379">
        <v>1</v>
      </c>
    </row>
    <row r="380" spans="1:21" x14ac:dyDescent="0.3">
      <c r="A380">
        <v>379</v>
      </c>
      <c r="B380" t="s">
        <v>37</v>
      </c>
      <c r="C380" t="str">
        <f t="shared" si="21"/>
        <v>17-Jan-2011</v>
      </c>
      <c r="D380">
        <v>1</v>
      </c>
      <c r="E380">
        <v>0</v>
      </c>
      <c r="F380">
        <v>1</v>
      </c>
      <c r="G380" t="str">
        <f t="shared" si="20"/>
        <v>Jan</v>
      </c>
      <c r="H380">
        <v>6</v>
      </c>
      <c r="I380">
        <f t="shared" si="22"/>
        <v>0</v>
      </c>
      <c r="J380" t="s">
        <v>126</v>
      </c>
      <c r="K380">
        <v>1</v>
      </c>
      <c r="L380" t="str">
        <f t="shared" si="23"/>
        <v>Weekday</v>
      </c>
      <c r="M380">
        <v>2</v>
      </c>
      <c r="N380" t="str" cm="1">
        <f t="array" ref="N380">_xlfn.IFS(M380=1,"Sunny Day",M380=2,"Cloudy Day",M380=3,"Rainy Day",M380=4,"Heavy Rain")</f>
        <v>Cloudy Day</v>
      </c>
      <c r="O380">
        <v>0.18</v>
      </c>
      <c r="P380">
        <v>0.18179999999999999</v>
      </c>
      <c r="Q380">
        <v>0.43</v>
      </c>
      <c r="R380">
        <v>0.19400000000000001</v>
      </c>
      <c r="S380">
        <v>0</v>
      </c>
      <c r="T380">
        <v>5</v>
      </c>
      <c r="U380">
        <v>5</v>
      </c>
    </row>
    <row r="381" spans="1:21" x14ac:dyDescent="0.3">
      <c r="A381">
        <v>380</v>
      </c>
      <c r="B381" t="s">
        <v>37</v>
      </c>
      <c r="C381" t="str">
        <f t="shared" si="21"/>
        <v>17-Jan-2011</v>
      </c>
      <c r="D381">
        <v>1</v>
      </c>
      <c r="E381">
        <v>0</v>
      </c>
      <c r="F381">
        <v>1</v>
      </c>
      <c r="G381" t="str">
        <f t="shared" si="20"/>
        <v>Jan</v>
      </c>
      <c r="H381">
        <v>7</v>
      </c>
      <c r="I381">
        <f t="shared" si="22"/>
        <v>0</v>
      </c>
      <c r="J381" t="s">
        <v>126</v>
      </c>
      <c r="K381">
        <v>1</v>
      </c>
      <c r="L381" t="str">
        <f t="shared" si="23"/>
        <v>Weekday</v>
      </c>
      <c r="M381">
        <v>2</v>
      </c>
      <c r="N381" t="str" cm="1">
        <f t="array" ref="N381">_xlfn.IFS(M381=1,"Sunny Day",M381=2,"Cloudy Day",M381=3,"Rainy Day",M381=4,"Heavy Rain")</f>
        <v>Cloudy Day</v>
      </c>
      <c r="O381">
        <v>0.16</v>
      </c>
      <c r="P381">
        <v>0.18179999999999999</v>
      </c>
      <c r="Q381">
        <v>0.5</v>
      </c>
      <c r="R381">
        <v>0.1343</v>
      </c>
      <c r="S381">
        <v>4</v>
      </c>
      <c r="T381">
        <v>9</v>
      </c>
      <c r="U381">
        <v>13</v>
      </c>
    </row>
    <row r="382" spans="1:21" x14ac:dyDescent="0.3">
      <c r="A382">
        <v>381</v>
      </c>
      <c r="B382" t="s">
        <v>37</v>
      </c>
      <c r="C382" t="str">
        <f t="shared" si="21"/>
        <v>17-Jan-2011</v>
      </c>
      <c r="D382">
        <v>1</v>
      </c>
      <c r="E382">
        <v>0</v>
      </c>
      <c r="F382">
        <v>1</v>
      </c>
      <c r="G382" t="str">
        <f t="shared" si="20"/>
        <v>Jan</v>
      </c>
      <c r="H382">
        <v>8</v>
      </c>
      <c r="I382">
        <f t="shared" si="22"/>
        <v>0</v>
      </c>
      <c r="J382" t="s">
        <v>126</v>
      </c>
      <c r="K382">
        <v>1</v>
      </c>
      <c r="L382" t="str">
        <f t="shared" si="23"/>
        <v>Weekday</v>
      </c>
      <c r="M382">
        <v>2</v>
      </c>
      <c r="N382" t="str" cm="1">
        <f t="array" ref="N382">_xlfn.IFS(M382=1,"Sunny Day",M382=2,"Cloudy Day",M382=3,"Rainy Day",M382=4,"Heavy Rain")</f>
        <v>Cloudy Day</v>
      </c>
      <c r="O382">
        <v>0.16</v>
      </c>
      <c r="P382">
        <v>0.1515</v>
      </c>
      <c r="Q382">
        <v>0.47</v>
      </c>
      <c r="R382">
        <v>0.22389999999999999</v>
      </c>
      <c r="S382">
        <v>3</v>
      </c>
      <c r="T382">
        <v>30</v>
      </c>
      <c r="U382">
        <v>33</v>
      </c>
    </row>
    <row r="383" spans="1:21" x14ac:dyDescent="0.3">
      <c r="A383">
        <v>382</v>
      </c>
      <c r="B383" t="s">
        <v>37</v>
      </c>
      <c r="C383" t="str">
        <f t="shared" si="21"/>
        <v>17-Jan-2011</v>
      </c>
      <c r="D383">
        <v>1</v>
      </c>
      <c r="E383">
        <v>0</v>
      </c>
      <c r="F383">
        <v>1</v>
      </c>
      <c r="G383" t="str">
        <f t="shared" si="20"/>
        <v>Jan</v>
      </c>
      <c r="H383">
        <v>9</v>
      </c>
      <c r="I383">
        <f t="shared" si="22"/>
        <v>0</v>
      </c>
      <c r="J383" t="s">
        <v>126</v>
      </c>
      <c r="K383">
        <v>1</v>
      </c>
      <c r="L383" t="str">
        <f t="shared" si="23"/>
        <v>Weekday</v>
      </c>
      <c r="M383">
        <v>2</v>
      </c>
      <c r="N383" t="str" cm="1">
        <f t="array" ref="N383">_xlfn.IFS(M383=1,"Sunny Day",M383=2,"Cloudy Day",M383=3,"Rainy Day",M383=4,"Heavy Rain")</f>
        <v>Cloudy Day</v>
      </c>
      <c r="O383">
        <v>0.16</v>
      </c>
      <c r="P383">
        <v>0.1515</v>
      </c>
      <c r="Q383">
        <v>0.47</v>
      </c>
      <c r="R383">
        <v>0.22389999999999999</v>
      </c>
      <c r="S383">
        <v>8</v>
      </c>
      <c r="T383">
        <v>39</v>
      </c>
      <c r="U383">
        <v>47</v>
      </c>
    </row>
    <row r="384" spans="1:21" x14ac:dyDescent="0.3">
      <c r="A384">
        <v>383</v>
      </c>
      <c r="B384" t="s">
        <v>37</v>
      </c>
      <c r="C384" t="str">
        <f t="shared" si="21"/>
        <v>17-Jan-2011</v>
      </c>
      <c r="D384">
        <v>1</v>
      </c>
      <c r="E384">
        <v>0</v>
      </c>
      <c r="F384">
        <v>1</v>
      </c>
      <c r="G384" t="str">
        <f t="shared" si="20"/>
        <v>Jan</v>
      </c>
      <c r="H384">
        <v>10</v>
      </c>
      <c r="I384">
        <f t="shared" si="22"/>
        <v>0</v>
      </c>
      <c r="J384" t="s">
        <v>126</v>
      </c>
      <c r="K384">
        <v>1</v>
      </c>
      <c r="L384" t="str">
        <f t="shared" si="23"/>
        <v>Weekday</v>
      </c>
      <c r="M384">
        <v>2</v>
      </c>
      <c r="N384" t="str" cm="1">
        <f t="array" ref="N384">_xlfn.IFS(M384=1,"Sunny Day",M384=2,"Cloudy Day",M384=3,"Rainy Day",M384=4,"Heavy Rain")</f>
        <v>Cloudy Day</v>
      </c>
      <c r="O384">
        <v>0.16</v>
      </c>
      <c r="P384">
        <v>0.1515</v>
      </c>
      <c r="Q384">
        <v>0.5</v>
      </c>
      <c r="R384">
        <v>0.25369999999999998</v>
      </c>
      <c r="S384">
        <v>7</v>
      </c>
      <c r="T384">
        <v>50</v>
      </c>
      <c r="U384">
        <v>57</v>
      </c>
    </row>
    <row r="385" spans="1:21" x14ac:dyDescent="0.3">
      <c r="A385">
        <v>384</v>
      </c>
      <c r="B385" t="s">
        <v>37</v>
      </c>
      <c r="C385" t="str">
        <f t="shared" si="21"/>
        <v>17-Jan-2011</v>
      </c>
      <c r="D385">
        <v>1</v>
      </c>
      <c r="E385">
        <v>0</v>
      </c>
      <c r="F385">
        <v>1</v>
      </c>
      <c r="G385" t="str">
        <f t="shared" si="20"/>
        <v>Jan</v>
      </c>
      <c r="H385">
        <v>11</v>
      </c>
      <c r="I385">
        <f t="shared" si="22"/>
        <v>1</v>
      </c>
      <c r="J385" t="s">
        <v>126</v>
      </c>
      <c r="K385">
        <v>1</v>
      </c>
      <c r="L385" t="str">
        <f t="shared" si="23"/>
        <v>Weekday</v>
      </c>
      <c r="M385">
        <v>2</v>
      </c>
      <c r="N385" t="str" cm="1">
        <f t="array" ref="N385">_xlfn.IFS(M385=1,"Sunny Day",M385=2,"Cloudy Day",M385=3,"Rainy Day",M385=4,"Heavy Rain")</f>
        <v>Cloudy Day</v>
      </c>
      <c r="O385">
        <v>0.16</v>
      </c>
      <c r="P385">
        <v>0.1515</v>
      </c>
      <c r="Q385">
        <v>0.55000000000000004</v>
      </c>
      <c r="R385">
        <v>0.19400000000000001</v>
      </c>
      <c r="S385">
        <v>9</v>
      </c>
      <c r="T385">
        <v>55</v>
      </c>
      <c r="U385">
        <v>64</v>
      </c>
    </row>
    <row r="386" spans="1:21" x14ac:dyDescent="0.3">
      <c r="A386">
        <v>385</v>
      </c>
      <c r="B386" t="s">
        <v>37</v>
      </c>
      <c r="C386" t="str">
        <f t="shared" si="21"/>
        <v>17-Jan-2011</v>
      </c>
      <c r="D386">
        <v>1</v>
      </c>
      <c r="E386">
        <v>0</v>
      </c>
      <c r="F386">
        <v>1</v>
      </c>
      <c r="G386" t="str">
        <f t="shared" ref="G386:G449" si="24">TEXT(C386,"mmm")</f>
        <v>Jan</v>
      </c>
      <c r="H386">
        <v>12</v>
      </c>
      <c r="I386">
        <f t="shared" si="22"/>
        <v>1</v>
      </c>
      <c r="J386" t="s">
        <v>126</v>
      </c>
      <c r="K386">
        <v>1</v>
      </c>
      <c r="L386" t="str">
        <f t="shared" si="23"/>
        <v>Weekday</v>
      </c>
      <c r="M386">
        <v>2</v>
      </c>
      <c r="N386" t="str" cm="1">
        <f t="array" ref="N386">_xlfn.IFS(M386=1,"Sunny Day",M386=2,"Cloudy Day",M386=3,"Rainy Day",M386=4,"Heavy Rain")</f>
        <v>Cloudy Day</v>
      </c>
      <c r="O386">
        <v>0.18</v>
      </c>
      <c r="P386">
        <v>0.19700000000000001</v>
      </c>
      <c r="Q386">
        <v>0.47</v>
      </c>
      <c r="R386">
        <v>0.1343</v>
      </c>
      <c r="S386">
        <v>10</v>
      </c>
      <c r="T386">
        <v>70</v>
      </c>
      <c r="U386">
        <v>80</v>
      </c>
    </row>
    <row r="387" spans="1:21" x14ac:dyDescent="0.3">
      <c r="A387">
        <v>386</v>
      </c>
      <c r="B387" t="s">
        <v>37</v>
      </c>
      <c r="C387" t="str">
        <f t="shared" ref="C387:C450" si="25">TEXT(DATEVALUE(B387),"dd-mmm-yyyy")</f>
        <v>17-Jan-2011</v>
      </c>
      <c r="D387">
        <v>1</v>
      </c>
      <c r="E387">
        <v>0</v>
      </c>
      <c r="F387">
        <v>1</v>
      </c>
      <c r="G387" t="str">
        <f t="shared" si="24"/>
        <v>Jan</v>
      </c>
      <c r="H387">
        <v>13</v>
      </c>
      <c r="I387">
        <f t="shared" ref="I387:I450" si="26">IF(AND(H387&gt;=0,H387&lt;=10),0,1)</f>
        <v>1</v>
      </c>
      <c r="J387" t="s">
        <v>126</v>
      </c>
      <c r="K387">
        <v>1</v>
      </c>
      <c r="L387" t="str">
        <f t="shared" ref="L387:L450" si="27">IF(AND(K387&gt;=1,K387&lt;=5),"Weekday","Weekend")</f>
        <v>Weekday</v>
      </c>
      <c r="M387">
        <v>2</v>
      </c>
      <c r="N387" t="str" cm="1">
        <f t="array" ref="N387">_xlfn.IFS(M387=1,"Sunny Day",M387=2,"Cloudy Day",M387=3,"Rainy Day",M387=4,"Heavy Rain")</f>
        <v>Cloudy Day</v>
      </c>
      <c r="O387">
        <v>0.18</v>
      </c>
      <c r="P387">
        <v>0.19700000000000001</v>
      </c>
      <c r="Q387">
        <v>0.47</v>
      </c>
      <c r="R387">
        <v>0.1343</v>
      </c>
      <c r="S387">
        <v>13</v>
      </c>
      <c r="T387">
        <v>80</v>
      </c>
      <c r="U387">
        <v>93</v>
      </c>
    </row>
    <row r="388" spans="1:21" x14ac:dyDescent="0.3">
      <c r="A388">
        <v>387</v>
      </c>
      <c r="B388" t="s">
        <v>37</v>
      </c>
      <c r="C388" t="str">
        <f t="shared" si="25"/>
        <v>17-Jan-2011</v>
      </c>
      <c r="D388">
        <v>1</v>
      </c>
      <c r="E388">
        <v>0</v>
      </c>
      <c r="F388">
        <v>1</v>
      </c>
      <c r="G388" t="str">
        <f t="shared" si="24"/>
        <v>Jan</v>
      </c>
      <c r="H388">
        <v>14</v>
      </c>
      <c r="I388">
        <f t="shared" si="26"/>
        <v>1</v>
      </c>
      <c r="J388" t="s">
        <v>126</v>
      </c>
      <c r="K388">
        <v>1</v>
      </c>
      <c r="L388" t="str">
        <f t="shared" si="27"/>
        <v>Weekday</v>
      </c>
      <c r="M388">
        <v>2</v>
      </c>
      <c r="N388" t="str" cm="1">
        <f t="array" ref="N388">_xlfn.IFS(M388=1,"Sunny Day",M388=2,"Cloudy Day",M388=3,"Rainy Day",M388=4,"Heavy Rain")</f>
        <v>Cloudy Day</v>
      </c>
      <c r="O388">
        <v>0.18</v>
      </c>
      <c r="P388">
        <v>0.21210000000000001</v>
      </c>
      <c r="Q388">
        <v>0.43</v>
      </c>
      <c r="R388">
        <v>0.1045</v>
      </c>
      <c r="S388">
        <v>12</v>
      </c>
      <c r="T388">
        <v>74</v>
      </c>
      <c r="U388">
        <v>86</v>
      </c>
    </row>
    <row r="389" spans="1:21" x14ac:dyDescent="0.3">
      <c r="A389">
        <v>388</v>
      </c>
      <c r="B389" t="s">
        <v>37</v>
      </c>
      <c r="C389" t="str">
        <f t="shared" si="25"/>
        <v>17-Jan-2011</v>
      </c>
      <c r="D389">
        <v>1</v>
      </c>
      <c r="E389">
        <v>0</v>
      </c>
      <c r="F389">
        <v>1</v>
      </c>
      <c r="G389" t="str">
        <f t="shared" si="24"/>
        <v>Jan</v>
      </c>
      <c r="H389">
        <v>15</v>
      </c>
      <c r="I389">
        <f t="shared" si="26"/>
        <v>1</v>
      </c>
      <c r="J389" t="s">
        <v>126</v>
      </c>
      <c r="K389">
        <v>1</v>
      </c>
      <c r="L389" t="str">
        <f t="shared" si="27"/>
        <v>Weekday</v>
      </c>
      <c r="M389">
        <v>2</v>
      </c>
      <c r="N389" t="str" cm="1">
        <f t="array" ref="N389">_xlfn.IFS(M389=1,"Sunny Day",M389=2,"Cloudy Day",M389=3,"Rainy Day",M389=4,"Heavy Rain")</f>
        <v>Cloudy Day</v>
      </c>
      <c r="O389">
        <v>0.2</v>
      </c>
      <c r="P389">
        <v>0.21210000000000001</v>
      </c>
      <c r="Q389">
        <v>0.47</v>
      </c>
      <c r="R389">
        <v>0.16420000000000001</v>
      </c>
      <c r="S389">
        <v>21</v>
      </c>
      <c r="T389">
        <v>72</v>
      </c>
      <c r="U389">
        <v>93</v>
      </c>
    </row>
    <row r="390" spans="1:21" x14ac:dyDescent="0.3">
      <c r="A390">
        <v>389</v>
      </c>
      <c r="B390" t="s">
        <v>37</v>
      </c>
      <c r="C390" t="str">
        <f t="shared" si="25"/>
        <v>17-Jan-2011</v>
      </c>
      <c r="D390">
        <v>1</v>
      </c>
      <c r="E390">
        <v>0</v>
      </c>
      <c r="F390">
        <v>1</v>
      </c>
      <c r="G390" t="str">
        <f t="shared" si="24"/>
        <v>Jan</v>
      </c>
      <c r="H390">
        <v>16</v>
      </c>
      <c r="I390">
        <f t="shared" si="26"/>
        <v>1</v>
      </c>
      <c r="J390" t="s">
        <v>126</v>
      </c>
      <c r="K390">
        <v>1</v>
      </c>
      <c r="L390" t="str">
        <f t="shared" si="27"/>
        <v>Weekday</v>
      </c>
      <c r="M390">
        <v>2</v>
      </c>
      <c r="N390" t="str" cm="1">
        <f t="array" ref="N390">_xlfn.IFS(M390=1,"Sunny Day",M390=2,"Cloudy Day",M390=3,"Rainy Day",M390=4,"Heavy Rain")</f>
        <v>Cloudy Day</v>
      </c>
      <c r="O390">
        <v>0.2</v>
      </c>
      <c r="P390">
        <v>0.21210000000000001</v>
      </c>
      <c r="Q390">
        <v>0.47</v>
      </c>
      <c r="R390">
        <v>0.16420000000000001</v>
      </c>
      <c r="S390">
        <v>6</v>
      </c>
      <c r="T390">
        <v>76</v>
      </c>
      <c r="U390">
        <v>82</v>
      </c>
    </row>
    <row r="391" spans="1:21" x14ac:dyDescent="0.3">
      <c r="A391">
        <v>390</v>
      </c>
      <c r="B391" t="s">
        <v>37</v>
      </c>
      <c r="C391" t="str">
        <f t="shared" si="25"/>
        <v>17-Jan-2011</v>
      </c>
      <c r="D391">
        <v>1</v>
      </c>
      <c r="E391">
        <v>0</v>
      </c>
      <c r="F391">
        <v>1</v>
      </c>
      <c r="G391" t="str">
        <f t="shared" si="24"/>
        <v>Jan</v>
      </c>
      <c r="H391">
        <v>17</v>
      </c>
      <c r="I391">
        <f t="shared" si="26"/>
        <v>1</v>
      </c>
      <c r="J391" t="s">
        <v>126</v>
      </c>
      <c r="K391">
        <v>1</v>
      </c>
      <c r="L391" t="str">
        <f t="shared" si="27"/>
        <v>Weekday</v>
      </c>
      <c r="M391">
        <v>1</v>
      </c>
      <c r="N391" t="str" cm="1">
        <f t="array" ref="N391">_xlfn.IFS(M391=1,"Sunny Day",M391=2,"Cloudy Day",M391=3,"Rainy Day",M391=4,"Heavy Rain")</f>
        <v>Sunny Day</v>
      </c>
      <c r="O391">
        <v>0.2</v>
      </c>
      <c r="P391">
        <v>0.19700000000000001</v>
      </c>
      <c r="Q391">
        <v>0.51</v>
      </c>
      <c r="R391">
        <v>0.19400000000000001</v>
      </c>
      <c r="S391">
        <v>4</v>
      </c>
      <c r="T391">
        <v>67</v>
      </c>
      <c r="U391">
        <v>71</v>
      </c>
    </row>
    <row r="392" spans="1:21" x14ac:dyDescent="0.3">
      <c r="A392">
        <v>391</v>
      </c>
      <c r="B392" t="s">
        <v>37</v>
      </c>
      <c r="C392" t="str">
        <f t="shared" si="25"/>
        <v>17-Jan-2011</v>
      </c>
      <c r="D392">
        <v>1</v>
      </c>
      <c r="E392">
        <v>0</v>
      </c>
      <c r="F392">
        <v>1</v>
      </c>
      <c r="G392" t="str">
        <f t="shared" si="24"/>
        <v>Jan</v>
      </c>
      <c r="H392">
        <v>18</v>
      </c>
      <c r="I392">
        <f t="shared" si="26"/>
        <v>1</v>
      </c>
      <c r="J392" t="s">
        <v>126</v>
      </c>
      <c r="K392">
        <v>1</v>
      </c>
      <c r="L392" t="str">
        <f t="shared" si="27"/>
        <v>Weekday</v>
      </c>
      <c r="M392">
        <v>2</v>
      </c>
      <c r="N392" t="str" cm="1">
        <f t="array" ref="N392">_xlfn.IFS(M392=1,"Sunny Day",M392=2,"Cloudy Day",M392=3,"Rainy Day",M392=4,"Heavy Rain")</f>
        <v>Cloudy Day</v>
      </c>
      <c r="O392">
        <v>0.18</v>
      </c>
      <c r="P392">
        <v>0.16669999999999999</v>
      </c>
      <c r="Q392">
        <v>0.55000000000000004</v>
      </c>
      <c r="R392">
        <v>0.25369999999999998</v>
      </c>
      <c r="S392">
        <v>7</v>
      </c>
      <c r="T392">
        <v>85</v>
      </c>
      <c r="U392">
        <v>92</v>
      </c>
    </row>
    <row r="393" spans="1:21" x14ac:dyDescent="0.3">
      <c r="A393">
        <v>392</v>
      </c>
      <c r="B393" t="s">
        <v>37</v>
      </c>
      <c r="C393" t="str">
        <f t="shared" si="25"/>
        <v>17-Jan-2011</v>
      </c>
      <c r="D393">
        <v>1</v>
      </c>
      <c r="E393">
        <v>0</v>
      </c>
      <c r="F393">
        <v>1</v>
      </c>
      <c r="G393" t="str">
        <f t="shared" si="24"/>
        <v>Jan</v>
      </c>
      <c r="H393">
        <v>19</v>
      </c>
      <c r="I393">
        <f t="shared" si="26"/>
        <v>1</v>
      </c>
      <c r="J393" t="s">
        <v>126</v>
      </c>
      <c r="K393">
        <v>1</v>
      </c>
      <c r="L393" t="str">
        <f t="shared" si="27"/>
        <v>Weekday</v>
      </c>
      <c r="M393">
        <v>3</v>
      </c>
      <c r="N393" t="str" cm="1">
        <f t="array" ref="N393">_xlfn.IFS(M393=1,"Sunny Day",M393=2,"Cloudy Day",M393=3,"Rainy Day",M393=4,"Heavy Rain")</f>
        <v>Rainy Day</v>
      </c>
      <c r="O393">
        <v>0.18</v>
      </c>
      <c r="P393">
        <v>0.18179999999999999</v>
      </c>
      <c r="Q393">
        <v>0.59</v>
      </c>
      <c r="R393">
        <v>0.19400000000000001</v>
      </c>
      <c r="S393">
        <v>2</v>
      </c>
      <c r="T393">
        <v>58</v>
      </c>
      <c r="U393">
        <v>60</v>
      </c>
    </row>
    <row r="394" spans="1:21" x14ac:dyDescent="0.3">
      <c r="A394">
        <v>393</v>
      </c>
      <c r="B394" t="s">
        <v>37</v>
      </c>
      <c r="C394" t="str">
        <f t="shared" si="25"/>
        <v>17-Jan-2011</v>
      </c>
      <c r="D394">
        <v>1</v>
      </c>
      <c r="E394">
        <v>0</v>
      </c>
      <c r="F394">
        <v>1</v>
      </c>
      <c r="G394" t="str">
        <f t="shared" si="24"/>
        <v>Jan</v>
      </c>
      <c r="H394">
        <v>20</v>
      </c>
      <c r="I394">
        <f t="shared" si="26"/>
        <v>1</v>
      </c>
      <c r="J394" t="s">
        <v>126</v>
      </c>
      <c r="K394">
        <v>1</v>
      </c>
      <c r="L394" t="str">
        <f t="shared" si="27"/>
        <v>Weekday</v>
      </c>
      <c r="M394">
        <v>3</v>
      </c>
      <c r="N394" t="str" cm="1">
        <f t="array" ref="N394">_xlfn.IFS(M394=1,"Sunny Day",M394=2,"Cloudy Day",M394=3,"Rainy Day",M394=4,"Heavy Rain")</f>
        <v>Rainy Day</v>
      </c>
      <c r="O394">
        <v>0.16</v>
      </c>
      <c r="P394">
        <v>0.1515</v>
      </c>
      <c r="Q394">
        <v>0.8</v>
      </c>
      <c r="R394">
        <v>0.19400000000000001</v>
      </c>
      <c r="S394">
        <v>4</v>
      </c>
      <c r="T394">
        <v>29</v>
      </c>
      <c r="U394">
        <v>33</v>
      </c>
    </row>
    <row r="395" spans="1:21" x14ac:dyDescent="0.3">
      <c r="A395">
        <v>394</v>
      </c>
      <c r="B395" t="s">
        <v>37</v>
      </c>
      <c r="C395" t="str">
        <f t="shared" si="25"/>
        <v>17-Jan-2011</v>
      </c>
      <c r="D395">
        <v>1</v>
      </c>
      <c r="E395">
        <v>0</v>
      </c>
      <c r="F395">
        <v>1</v>
      </c>
      <c r="G395" t="str">
        <f t="shared" si="24"/>
        <v>Jan</v>
      </c>
      <c r="H395">
        <v>21</v>
      </c>
      <c r="I395">
        <f t="shared" si="26"/>
        <v>1</v>
      </c>
      <c r="J395" t="s">
        <v>126</v>
      </c>
      <c r="K395">
        <v>1</v>
      </c>
      <c r="L395" t="str">
        <f t="shared" si="27"/>
        <v>Weekday</v>
      </c>
      <c r="M395">
        <v>3</v>
      </c>
      <c r="N395" t="str" cm="1">
        <f t="array" ref="N395">_xlfn.IFS(M395=1,"Sunny Day",M395=2,"Cloudy Day",M395=3,"Rainy Day",M395=4,"Heavy Rain")</f>
        <v>Rainy Day</v>
      </c>
      <c r="O395">
        <v>0.16</v>
      </c>
      <c r="P395">
        <v>0.1515</v>
      </c>
      <c r="Q395">
        <v>0.8</v>
      </c>
      <c r="R395">
        <v>0.19400000000000001</v>
      </c>
      <c r="S395">
        <v>3</v>
      </c>
      <c r="T395">
        <v>24</v>
      </c>
      <c r="U395">
        <v>27</v>
      </c>
    </row>
    <row r="396" spans="1:21" x14ac:dyDescent="0.3">
      <c r="A396">
        <v>395</v>
      </c>
      <c r="B396" t="s">
        <v>37</v>
      </c>
      <c r="C396" t="str">
        <f t="shared" si="25"/>
        <v>17-Jan-2011</v>
      </c>
      <c r="D396">
        <v>1</v>
      </c>
      <c r="E396">
        <v>0</v>
      </c>
      <c r="F396">
        <v>1</v>
      </c>
      <c r="G396" t="str">
        <f t="shared" si="24"/>
        <v>Jan</v>
      </c>
      <c r="H396">
        <v>22</v>
      </c>
      <c r="I396">
        <f t="shared" si="26"/>
        <v>1</v>
      </c>
      <c r="J396" t="s">
        <v>126</v>
      </c>
      <c r="K396">
        <v>1</v>
      </c>
      <c r="L396" t="str">
        <f t="shared" si="27"/>
        <v>Weekday</v>
      </c>
      <c r="M396">
        <v>3</v>
      </c>
      <c r="N396" t="str" cm="1">
        <f t="array" ref="N396">_xlfn.IFS(M396=1,"Sunny Day",M396=2,"Cloudy Day",M396=3,"Rainy Day",M396=4,"Heavy Rain")</f>
        <v>Rainy Day</v>
      </c>
      <c r="O396">
        <v>0.14000000000000001</v>
      </c>
      <c r="P396">
        <v>0.1212</v>
      </c>
      <c r="Q396">
        <v>0.93</v>
      </c>
      <c r="R396">
        <v>0.25369999999999998</v>
      </c>
      <c r="S396">
        <v>0</v>
      </c>
      <c r="T396">
        <v>13</v>
      </c>
      <c r="U396">
        <v>13</v>
      </c>
    </row>
    <row r="397" spans="1:21" x14ac:dyDescent="0.3">
      <c r="A397">
        <v>396</v>
      </c>
      <c r="B397" t="s">
        <v>37</v>
      </c>
      <c r="C397" t="str">
        <f t="shared" si="25"/>
        <v>17-Jan-2011</v>
      </c>
      <c r="D397">
        <v>1</v>
      </c>
      <c r="E397">
        <v>0</v>
      </c>
      <c r="F397">
        <v>1</v>
      </c>
      <c r="G397" t="str">
        <f t="shared" si="24"/>
        <v>Jan</v>
      </c>
      <c r="H397">
        <v>23</v>
      </c>
      <c r="I397">
        <f t="shared" si="26"/>
        <v>1</v>
      </c>
      <c r="J397" t="s">
        <v>126</v>
      </c>
      <c r="K397">
        <v>1</v>
      </c>
      <c r="L397" t="str">
        <f t="shared" si="27"/>
        <v>Weekday</v>
      </c>
      <c r="M397">
        <v>3</v>
      </c>
      <c r="N397" t="str" cm="1">
        <f t="array" ref="N397">_xlfn.IFS(M397=1,"Sunny Day",M397=2,"Cloudy Day",M397=3,"Rainy Day",M397=4,"Heavy Rain")</f>
        <v>Rainy Day</v>
      </c>
      <c r="O397">
        <v>0.16</v>
      </c>
      <c r="P397">
        <v>0.13639999999999999</v>
      </c>
      <c r="Q397">
        <v>0.86</v>
      </c>
      <c r="R397">
        <v>0.28360000000000002</v>
      </c>
      <c r="S397">
        <v>1</v>
      </c>
      <c r="T397">
        <v>3</v>
      </c>
      <c r="U397">
        <v>4</v>
      </c>
    </row>
    <row r="398" spans="1:21" x14ac:dyDescent="0.3">
      <c r="A398">
        <v>397</v>
      </c>
      <c r="B398" t="s">
        <v>39</v>
      </c>
      <c r="C398" t="str">
        <f t="shared" si="25"/>
        <v>18-Jan-2011</v>
      </c>
      <c r="D398">
        <v>1</v>
      </c>
      <c r="E398">
        <v>0</v>
      </c>
      <c r="F398">
        <v>1</v>
      </c>
      <c r="G398" t="str">
        <f t="shared" si="24"/>
        <v>Jan</v>
      </c>
      <c r="H398">
        <v>12</v>
      </c>
      <c r="I398">
        <f t="shared" si="26"/>
        <v>1</v>
      </c>
      <c r="J398" t="s">
        <v>126</v>
      </c>
      <c r="K398">
        <v>2</v>
      </c>
      <c r="L398" t="str">
        <f t="shared" si="27"/>
        <v>Weekday</v>
      </c>
      <c r="M398">
        <v>2</v>
      </c>
      <c r="N398" t="str" cm="1">
        <f t="array" ref="N398">_xlfn.IFS(M398=1,"Sunny Day",M398=2,"Cloudy Day",M398=3,"Rainy Day",M398=4,"Heavy Rain")</f>
        <v>Cloudy Day</v>
      </c>
      <c r="O398">
        <v>0.2</v>
      </c>
      <c r="P398">
        <v>0.18179999999999999</v>
      </c>
      <c r="Q398">
        <v>0.86</v>
      </c>
      <c r="R398">
        <v>0.32840000000000003</v>
      </c>
      <c r="S398">
        <v>0</v>
      </c>
      <c r="T398">
        <v>3</v>
      </c>
      <c r="U398">
        <v>3</v>
      </c>
    </row>
    <row r="399" spans="1:21" x14ac:dyDescent="0.3">
      <c r="A399">
        <v>398</v>
      </c>
      <c r="B399" t="s">
        <v>39</v>
      </c>
      <c r="C399" t="str">
        <f t="shared" si="25"/>
        <v>18-Jan-2011</v>
      </c>
      <c r="D399">
        <v>1</v>
      </c>
      <c r="E399">
        <v>0</v>
      </c>
      <c r="F399">
        <v>1</v>
      </c>
      <c r="G399" t="str">
        <f t="shared" si="24"/>
        <v>Jan</v>
      </c>
      <c r="H399">
        <v>13</v>
      </c>
      <c r="I399">
        <f t="shared" si="26"/>
        <v>1</v>
      </c>
      <c r="J399" t="s">
        <v>126</v>
      </c>
      <c r="K399">
        <v>2</v>
      </c>
      <c r="L399" t="str">
        <f t="shared" si="27"/>
        <v>Weekday</v>
      </c>
      <c r="M399">
        <v>2</v>
      </c>
      <c r="N399" t="str" cm="1">
        <f t="array" ref="N399">_xlfn.IFS(M399=1,"Sunny Day",M399=2,"Cloudy Day",M399=3,"Rainy Day",M399=4,"Heavy Rain")</f>
        <v>Cloudy Day</v>
      </c>
      <c r="O399">
        <v>0.2</v>
      </c>
      <c r="P399">
        <v>0.19700000000000001</v>
      </c>
      <c r="Q399">
        <v>0.86</v>
      </c>
      <c r="R399">
        <v>0.22389999999999999</v>
      </c>
      <c r="S399">
        <v>0</v>
      </c>
      <c r="T399">
        <v>22</v>
      </c>
      <c r="U399">
        <v>22</v>
      </c>
    </row>
    <row r="400" spans="1:21" x14ac:dyDescent="0.3">
      <c r="A400">
        <v>399</v>
      </c>
      <c r="B400" t="s">
        <v>39</v>
      </c>
      <c r="C400" t="str">
        <f t="shared" si="25"/>
        <v>18-Jan-2011</v>
      </c>
      <c r="D400">
        <v>1</v>
      </c>
      <c r="E400">
        <v>0</v>
      </c>
      <c r="F400">
        <v>1</v>
      </c>
      <c r="G400" t="str">
        <f t="shared" si="24"/>
        <v>Jan</v>
      </c>
      <c r="H400">
        <v>14</v>
      </c>
      <c r="I400">
        <f t="shared" si="26"/>
        <v>1</v>
      </c>
      <c r="J400" t="s">
        <v>126</v>
      </c>
      <c r="K400">
        <v>2</v>
      </c>
      <c r="L400" t="str">
        <f t="shared" si="27"/>
        <v>Weekday</v>
      </c>
      <c r="M400">
        <v>2</v>
      </c>
      <c r="N400" t="str" cm="1">
        <f t="array" ref="N400">_xlfn.IFS(M400=1,"Sunny Day",M400=2,"Cloudy Day",M400=3,"Rainy Day",M400=4,"Heavy Rain")</f>
        <v>Cloudy Day</v>
      </c>
      <c r="O400">
        <v>0.22</v>
      </c>
      <c r="P400">
        <v>0.2273</v>
      </c>
      <c r="Q400">
        <v>0.8</v>
      </c>
      <c r="R400">
        <v>0.16420000000000001</v>
      </c>
      <c r="S400">
        <v>2</v>
      </c>
      <c r="T400">
        <v>26</v>
      </c>
      <c r="U400">
        <v>28</v>
      </c>
    </row>
    <row r="401" spans="1:21" x14ac:dyDescent="0.3">
      <c r="A401">
        <v>400</v>
      </c>
      <c r="B401" t="s">
        <v>39</v>
      </c>
      <c r="C401" t="str">
        <f t="shared" si="25"/>
        <v>18-Jan-2011</v>
      </c>
      <c r="D401">
        <v>1</v>
      </c>
      <c r="E401">
        <v>0</v>
      </c>
      <c r="F401">
        <v>1</v>
      </c>
      <c r="G401" t="str">
        <f t="shared" si="24"/>
        <v>Jan</v>
      </c>
      <c r="H401">
        <v>15</v>
      </c>
      <c r="I401">
        <f t="shared" si="26"/>
        <v>1</v>
      </c>
      <c r="J401" t="s">
        <v>126</v>
      </c>
      <c r="K401">
        <v>2</v>
      </c>
      <c r="L401" t="str">
        <f t="shared" si="27"/>
        <v>Weekday</v>
      </c>
      <c r="M401">
        <v>2</v>
      </c>
      <c r="N401" t="str" cm="1">
        <f t="array" ref="N401">_xlfn.IFS(M401=1,"Sunny Day",M401=2,"Cloudy Day",M401=3,"Rainy Day",M401=4,"Heavy Rain")</f>
        <v>Cloudy Day</v>
      </c>
      <c r="O401">
        <v>0.22</v>
      </c>
      <c r="P401">
        <v>0.2273</v>
      </c>
      <c r="Q401">
        <v>0.87</v>
      </c>
      <c r="R401">
        <v>0.16420000000000001</v>
      </c>
      <c r="S401">
        <v>3</v>
      </c>
      <c r="T401">
        <v>32</v>
      </c>
      <c r="U401">
        <v>35</v>
      </c>
    </row>
    <row r="402" spans="1:21" x14ac:dyDescent="0.3">
      <c r="A402">
        <v>401</v>
      </c>
      <c r="B402" t="s">
        <v>39</v>
      </c>
      <c r="C402" t="str">
        <f t="shared" si="25"/>
        <v>18-Jan-2011</v>
      </c>
      <c r="D402">
        <v>1</v>
      </c>
      <c r="E402">
        <v>0</v>
      </c>
      <c r="F402">
        <v>1</v>
      </c>
      <c r="G402" t="str">
        <f t="shared" si="24"/>
        <v>Jan</v>
      </c>
      <c r="H402">
        <v>16</v>
      </c>
      <c r="I402">
        <f t="shared" si="26"/>
        <v>1</v>
      </c>
      <c r="J402" t="s">
        <v>126</v>
      </c>
      <c r="K402">
        <v>2</v>
      </c>
      <c r="L402" t="str">
        <f t="shared" si="27"/>
        <v>Weekday</v>
      </c>
      <c r="M402">
        <v>2</v>
      </c>
      <c r="N402" t="str" cm="1">
        <f t="array" ref="N402">_xlfn.IFS(M402=1,"Sunny Day",M402=2,"Cloudy Day",M402=3,"Rainy Day",M402=4,"Heavy Rain")</f>
        <v>Cloudy Day</v>
      </c>
      <c r="O402">
        <v>0.22</v>
      </c>
      <c r="P402">
        <v>0.2273</v>
      </c>
      <c r="Q402">
        <v>0.87</v>
      </c>
      <c r="R402">
        <v>0.19400000000000001</v>
      </c>
      <c r="S402">
        <v>0</v>
      </c>
      <c r="T402">
        <v>61</v>
      </c>
      <c r="U402">
        <v>61</v>
      </c>
    </row>
    <row r="403" spans="1:21" x14ac:dyDescent="0.3">
      <c r="A403">
        <v>402</v>
      </c>
      <c r="B403" t="s">
        <v>39</v>
      </c>
      <c r="C403" t="str">
        <f t="shared" si="25"/>
        <v>18-Jan-2011</v>
      </c>
      <c r="D403">
        <v>1</v>
      </c>
      <c r="E403">
        <v>0</v>
      </c>
      <c r="F403">
        <v>1</v>
      </c>
      <c r="G403" t="str">
        <f t="shared" si="24"/>
        <v>Jan</v>
      </c>
      <c r="H403">
        <v>17</v>
      </c>
      <c r="I403">
        <f t="shared" si="26"/>
        <v>1</v>
      </c>
      <c r="J403" t="s">
        <v>126</v>
      </c>
      <c r="K403">
        <v>2</v>
      </c>
      <c r="L403" t="str">
        <f t="shared" si="27"/>
        <v>Weekday</v>
      </c>
      <c r="M403">
        <v>2</v>
      </c>
      <c r="N403" t="str" cm="1">
        <f t="array" ref="N403">_xlfn.IFS(M403=1,"Sunny Day",M403=2,"Cloudy Day",M403=3,"Rainy Day",M403=4,"Heavy Rain")</f>
        <v>Cloudy Day</v>
      </c>
      <c r="O403">
        <v>0.22</v>
      </c>
      <c r="P403">
        <v>0.2273</v>
      </c>
      <c r="Q403">
        <v>0.82</v>
      </c>
      <c r="R403">
        <v>0.19400000000000001</v>
      </c>
      <c r="S403">
        <v>1</v>
      </c>
      <c r="T403">
        <v>124</v>
      </c>
      <c r="U403">
        <v>125</v>
      </c>
    </row>
    <row r="404" spans="1:21" x14ac:dyDescent="0.3">
      <c r="A404">
        <v>403</v>
      </c>
      <c r="B404" t="s">
        <v>39</v>
      </c>
      <c r="C404" t="str">
        <f t="shared" si="25"/>
        <v>18-Jan-2011</v>
      </c>
      <c r="D404">
        <v>1</v>
      </c>
      <c r="E404">
        <v>0</v>
      </c>
      <c r="F404">
        <v>1</v>
      </c>
      <c r="G404" t="str">
        <f t="shared" si="24"/>
        <v>Jan</v>
      </c>
      <c r="H404">
        <v>18</v>
      </c>
      <c r="I404">
        <f t="shared" si="26"/>
        <v>1</v>
      </c>
      <c r="J404" t="s">
        <v>126</v>
      </c>
      <c r="K404">
        <v>2</v>
      </c>
      <c r="L404" t="str">
        <f t="shared" si="27"/>
        <v>Weekday</v>
      </c>
      <c r="M404">
        <v>2</v>
      </c>
      <c r="N404" t="str" cm="1">
        <f t="array" ref="N404">_xlfn.IFS(M404=1,"Sunny Day",M404=2,"Cloudy Day",M404=3,"Rainy Day",M404=4,"Heavy Rain")</f>
        <v>Cloudy Day</v>
      </c>
      <c r="O404">
        <v>0.22</v>
      </c>
      <c r="P404">
        <v>0.2273</v>
      </c>
      <c r="Q404">
        <v>0.8</v>
      </c>
      <c r="R404">
        <v>0.16420000000000001</v>
      </c>
      <c r="S404">
        <v>1</v>
      </c>
      <c r="T404">
        <v>132</v>
      </c>
      <c r="U404">
        <v>133</v>
      </c>
    </row>
    <row r="405" spans="1:21" x14ac:dyDescent="0.3">
      <c r="A405">
        <v>404</v>
      </c>
      <c r="B405" t="s">
        <v>39</v>
      </c>
      <c r="C405" t="str">
        <f t="shared" si="25"/>
        <v>18-Jan-2011</v>
      </c>
      <c r="D405">
        <v>1</v>
      </c>
      <c r="E405">
        <v>0</v>
      </c>
      <c r="F405">
        <v>1</v>
      </c>
      <c r="G405" t="str">
        <f t="shared" si="24"/>
        <v>Jan</v>
      </c>
      <c r="H405">
        <v>19</v>
      </c>
      <c r="I405">
        <f t="shared" si="26"/>
        <v>1</v>
      </c>
      <c r="J405" t="s">
        <v>126</v>
      </c>
      <c r="K405">
        <v>2</v>
      </c>
      <c r="L405" t="str">
        <f t="shared" si="27"/>
        <v>Weekday</v>
      </c>
      <c r="M405">
        <v>2</v>
      </c>
      <c r="N405" t="str" cm="1">
        <f t="array" ref="N405">_xlfn.IFS(M405=1,"Sunny Day",M405=2,"Cloudy Day",M405=3,"Rainy Day",M405=4,"Heavy Rain")</f>
        <v>Cloudy Day</v>
      </c>
      <c r="O405">
        <v>0.22</v>
      </c>
      <c r="P405">
        <v>0.2273</v>
      </c>
      <c r="Q405">
        <v>0.8</v>
      </c>
      <c r="R405">
        <v>0.1343</v>
      </c>
      <c r="S405">
        <v>1</v>
      </c>
      <c r="T405">
        <v>98</v>
      </c>
      <c r="U405">
        <v>99</v>
      </c>
    </row>
    <row r="406" spans="1:21" x14ac:dyDescent="0.3">
      <c r="A406">
        <v>405</v>
      </c>
      <c r="B406" t="s">
        <v>39</v>
      </c>
      <c r="C406" t="str">
        <f t="shared" si="25"/>
        <v>18-Jan-2011</v>
      </c>
      <c r="D406">
        <v>1</v>
      </c>
      <c r="E406">
        <v>0</v>
      </c>
      <c r="F406">
        <v>1</v>
      </c>
      <c r="G406" t="str">
        <f t="shared" si="24"/>
        <v>Jan</v>
      </c>
      <c r="H406">
        <v>20</v>
      </c>
      <c r="I406">
        <f t="shared" si="26"/>
        <v>1</v>
      </c>
      <c r="J406" t="s">
        <v>126</v>
      </c>
      <c r="K406">
        <v>2</v>
      </c>
      <c r="L406" t="str">
        <f t="shared" si="27"/>
        <v>Weekday</v>
      </c>
      <c r="M406">
        <v>2</v>
      </c>
      <c r="N406" t="str" cm="1">
        <f t="array" ref="N406">_xlfn.IFS(M406=1,"Sunny Day",M406=2,"Cloudy Day",M406=3,"Rainy Day",M406=4,"Heavy Rain")</f>
        <v>Cloudy Day</v>
      </c>
      <c r="O406">
        <v>0.22</v>
      </c>
      <c r="P406">
        <v>0.2727</v>
      </c>
      <c r="Q406">
        <v>0.87</v>
      </c>
      <c r="R406">
        <v>0</v>
      </c>
      <c r="S406">
        <v>0</v>
      </c>
      <c r="T406">
        <v>83</v>
      </c>
      <c r="U406">
        <v>83</v>
      </c>
    </row>
    <row r="407" spans="1:21" x14ac:dyDescent="0.3">
      <c r="A407">
        <v>406</v>
      </c>
      <c r="B407" t="s">
        <v>39</v>
      </c>
      <c r="C407" t="str">
        <f t="shared" si="25"/>
        <v>18-Jan-2011</v>
      </c>
      <c r="D407">
        <v>1</v>
      </c>
      <c r="E407">
        <v>0</v>
      </c>
      <c r="F407">
        <v>1</v>
      </c>
      <c r="G407" t="str">
        <f t="shared" si="24"/>
        <v>Jan</v>
      </c>
      <c r="H407">
        <v>21</v>
      </c>
      <c r="I407">
        <f t="shared" si="26"/>
        <v>1</v>
      </c>
      <c r="J407" t="s">
        <v>126</v>
      </c>
      <c r="K407">
        <v>2</v>
      </c>
      <c r="L407" t="str">
        <f t="shared" si="27"/>
        <v>Weekday</v>
      </c>
      <c r="M407">
        <v>2</v>
      </c>
      <c r="N407" t="str" cm="1">
        <f t="array" ref="N407">_xlfn.IFS(M407=1,"Sunny Day",M407=2,"Cloudy Day",M407=3,"Rainy Day",M407=4,"Heavy Rain")</f>
        <v>Cloudy Day</v>
      </c>
      <c r="O407">
        <v>0.22</v>
      </c>
      <c r="P407">
        <v>0.2424</v>
      </c>
      <c r="Q407">
        <v>0.93</v>
      </c>
      <c r="R407">
        <v>0.1045</v>
      </c>
      <c r="S407">
        <v>0</v>
      </c>
      <c r="T407">
        <v>41</v>
      </c>
      <c r="U407">
        <v>41</v>
      </c>
    </row>
    <row r="408" spans="1:21" x14ac:dyDescent="0.3">
      <c r="A408">
        <v>407</v>
      </c>
      <c r="B408" t="s">
        <v>39</v>
      </c>
      <c r="C408" t="str">
        <f t="shared" si="25"/>
        <v>18-Jan-2011</v>
      </c>
      <c r="D408">
        <v>1</v>
      </c>
      <c r="E408">
        <v>0</v>
      </c>
      <c r="F408">
        <v>1</v>
      </c>
      <c r="G408" t="str">
        <f t="shared" si="24"/>
        <v>Jan</v>
      </c>
      <c r="H408">
        <v>22</v>
      </c>
      <c r="I408">
        <f t="shared" si="26"/>
        <v>1</v>
      </c>
      <c r="J408" t="s">
        <v>126</v>
      </c>
      <c r="K408">
        <v>2</v>
      </c>
      <c r="L408" t="str">
        <f t="shared" si="27"/>
        <v>Weekday</v>
      </c>
      <c r="M408">
        <v>2</v>
      </c>
      <c r="N408" t="str" cm="1">
        <f t="array" ref="N408">_xlfn.IFS(M408=1,"Sunny Day",M408=2,"Cloudy Day",M408=3,"Rainy Day",M408=4,"Heavy Rain")</f>
        <v>Cloudy Day</v>
      </c>
      <c r="O408">
        <v>0.22</v>
      </c>
      <c r="P408">
        <v>0.2576</v>
      </c>
      <c r="Q408">
        <v>0.93</v>
      </c>
      <c r="R408">
        <v>8.9599999999999999E-2</v>
      </c>
      <c r="S408">
        <v>0</v>
      </c>
      <c r="T408">
        <v>33</v>
      </c>
      <c r="U408">
        <v>33</v>
      </c>
    </row>
    <row r="409" spans="1:21" x14ac:dyDescent="0.3">
      <c r="A409">
        <v>408</v>
      </c>
      <c r="B409" t="s">
        <v>39</v>
      </c>
      <c r="C409" t="str">
        <f t="shared" si="25"/>
        <v>18-Jan-2011</v>
      </c>
      <c r="D409">
        <v>1</v>
      </c>
      <c r="E409">
        <v>0</v>
      </c>
      <c r="F409">
        <v>1</v>
      </c>
      <c r="G409" t="str">
        <f t="shared" si="24"/>
        <v>Jan</v>
      </c>
      <c r="H409">
        <v>23</v>
      </c>
      <c r="I409">
        <f t="shared" si="26"/>
        <v>1</v>
      </c>
      <c r="J409" t="s">
        <v>126</v>
      </c>
      <c r="K409">
        <v>2</v>
      </c>
      <c r="L409" t="str">
        <f t="shared" si="27"/>
        <v>Weekday</v>
      </c>
      <c r="M409">
        <v>2</v>
      </c>
      <c r="N409" t="str" cm="1">
        <f t="array" ref="N409">_xlfn.IFS(M409=1,"Sunny Day",M409=2,"Cloudy Day",M409=3,"Rainy Day",M409=4,"Heavy Rain")</f>
        <v>Cloudy Day</v>
      </c>
      <c r="O409">
        <v>0.22</v>
      </c>
      <c r="P409">
        <v>0.2727</v>
      </c>
      <c r="Q409">
        <v>0.93</v>
      </c>
      <c r="R409">
        <v>0</v>
      </c>
      <c r="S409">
        <v>1</v>
      </c>
      <c r="T409">
        <v>19</v>
      </c>
      <c r="U409">
        <v>20</v>
      </c>
    </row>
    <row r="410" spans="1:21" x14ac:dyDescent="0.3">
      <c r="A410">
        <v>409</v>
      </c>
      <c r="B410" t="s">
        <v>41</v>
      </c>
      <c r="C410" t="str">
        <f t="shared" si="25"/>
        <v>19-Jan-2011</v>
      </c>
      <c r="D410">
        <v>1</v>
      </c>
      <c r="E410">
        <v>0</v>
      </c>
      <c r="F410">
        <v>1</v>
      </c>
      <c r="G410" t="str">
        <f t="shared" si="24"/>
        <v>Jan</v>
      </c>
      <c r="H410">
        <v>0</v>
      </c>
      <c r="I410">
        <f t="shared" si="26"/>
        <v>0</v>
      </c>
      <c r="J410" t="s">
        <v>126</v>
      </c>
      <c r="K410">
        <v>3</v>
      </c>
      <c r="L410" t="str">
        <f t="shared" si="27"/>
        <v>Weekday</v>
      </c>
      <c r="M410">
        <v>2</v>
      </c>
      <c r="N410" t="str" cm="1">
        <f t="array" ref="N410">_xlfn.IFS(M410=1,"Sunny Day",M410=2,"Cloudy Day",M410=3,"Rainy Day",M410=4,"Heavy Rain")</f>
        <v>Cloudy Day</v>
      </c>
      <c r="O410">
        <v>0.22</v>
      </c>
      <c r="P410">
        <v>0.2727</v>
      </c>
      <c r="Q410">
        <v>0.93</v>
      </c>
      <c r="R410">
        <v>0</v>
      </c>
      <c r="S410">
        <v>0</v>
      </c>
      <c r="T410">
        <v>3</v>
      </c>
      <c r="U410">
        <v>3</v>
      </c>
    </row>
    <row r="411" spans="1:21" x14ac:dyDescent="0.3">
      <c r="A411">
        <v>410</v>
      </c>
      <c r="B411" t="s">
        <v>41</v>
      </c>
      <c r="C411" t="str">
        <f t="shared" si="25"/>
        <v>19-Jan-2011</v>
      </c>
      <c r="D411">
        <v>1</v>
      </c>
      <c r="E411">
        <v>0</v>
      </c>
      <c r="F411">
        <v>1</v>
      </c>
      <c r="G411" t="str">
        <f t="shared" si="24"/>
        <v>Jan</v>
      </c>
      <c r="H411">
        <v>1</v>
      </c>
      <c r="I411">
        <f t="shared" si="26"/>
        <v>0</v>
      </c>
      <c r="J411" t="s">
        <v>126</v>
      </c>
      <c r="K411">
        <v>3</v>
      </c>
      <c r="L411" t="str">
        <f t="shared" si="27"/>
        <v>Weekday</v>
      </c>
      <c r="M411">
        <v>3</v>
      </c>
      <c r="N411" t="str" cm="1">
        <f t="array" ref="N411">_xlfn.IFS(M411=1,"Sunny Day",M411=2,"Cloudy Day",M411=3,"Rainy Day",M411=4,"Heavy Rain")</f>
        <v>Rainy Day</v>
      </c>
      <c r="O411">
        <v>0.22</v>
      </c>
      <c r="P411">
        <v>0.2273</v>
      </c>
      <c r="Q411">
        <v>0.93</v>
      </c>
      <c r="R411">
        <v>0.1343</v>
      </c>
      <c r="S411">
        <v>1</v>
      </c>
      <c r="T411">
        <v>6</v>
      </c>
      <c r="U411">
        <v>7</v>
      </c>
    </row>
    <row r="412" spans="1:21" x14ac:dyDescent="0.3">
      <c r="A412">
        <v>411</v>
      </c>
      <c r="B412" t="s">
        <v>41</v>
      </c>
      <c r="C412" t="str">
        <f t="shared" si="25"/>
        <v>19-Jan-2011</v>
      </c>
      <c r="D412">
        <v>1</v>
      </c>
      <c r="E412">
        <v>0</v>
      </c>
      <c r="F412">
        <v>1</v>
      </c>
      <c r="G412" t="str">
        <f t="shared" si="24"/>
        <v>Jan</v>
      </c>
      <c r="H412">
        <v>2</v>
      </c>
      <c r="I412">
        <f t="shared" si="26"/>
        <v>0</v>
      </c>
      <c r="J412" t="s">
        <v>126</v>
      </c>
      <c r="K412">
        <v>3</v>
      </c>
      <c r="L412" t="str">
        <f t="shared" si="27"/>
        <v>Weekday</v>
      </c>
      <c r="M412">
        <v>3</v>
      </c>
      <c r="N412" t="str" cm="1">
        <f t="array" ref="N412">_xlfn.IFS(M412=1,"Sunny Day",M412=2,"Cloudy Day",M412=3,"Rainy Day",M412=4,"Heavy Rain")</f>
        <v>Rainy Day</v>
      </c>
      <c r="O412">
        <v>0.22</v>
      </c>
      <c r="P412">
        <v>0.2273</v>
      </c>
      <c r="Q412">
        <v>0.93</v>
      </c>
      <c r="R412">
        <v>0.1343</v>
      </c>
      <c r="S412">
        <v>0</v>
      </c>
      <c r="T412">
        <v>3</v>
      </c>
      <c r="U412">
        <v>3</v>
      </c>
    </row>
    <row r="413" spans="1:21" x14ac:dyDescent="0.3">
      <c r="A413">
        <v>412</v>
      </c>
      <c r="B413" t="s">
        <v>41</v>
      </c>
      <c r="C413" t="str">
        <f t="shared" si="25"/>
        <v>19-Jan-2011</v>
      </c>
      <c r="D413">
        <v>1</v>
      </c>
      <c r="E413">
        <v>0</v>
      </c>
      <c r="F413">
        <v>1</v>
      </c>
      <c r="G413" t="str">
        <f t="shared" si="24"/>
        <v>Jan</v>
      </c>
      <c r="H413">
        <v>4</v>
      </c>
      <c r="I413">
        <f t="shared" si="26"/>
        <v>0</v>
      </c>
      <c r="J413" t="s">
        <v>126</v>
      </c>
      <c r="K413">
        <v>3</v>
      </c>
      <c r="L413" t="str">
        <f t="shared" si="27"/>
        <v>Weekday</v>
      </c>
      <c r="M413">
        <v>3</v>
      </c>
      <c r="N413" t="str" cm="1">
        <f t="array" ref="N413">_xlfn.IFS(M413=1,"Sunny Day",M413=2,"Cloudy Day",M413=3,"Rainy Day",M413=4,"Heavy Rain")</f>
        <v>Rainy Day</v>
      </c>
      <c r="O413">
        <v>0.22</v>
      </c>
      <c r="P413">
        <v>0.2273</v>
      </c>
      <c r="Q413">
        <v>0.93</v>
      </c>
      <c r="R413">
        <v>0.1343</v>
      </c>
      <c r="S413">
        <v>1</v>
      </c>
      <c r="T413">
        <v>1</v>
      </c>
      <c r="U413">
        <v>2</v>
      </c>
    </row>
    <row r="414" spans="1:21" x14ac:dyDescent="0.3">
      <c r="A414">
        <v>413</v>
      </c>
      <c r="B414" t="s">
        <v>41</v>
      </c>
      <c r="C414" t="str">
        <f t="shared" si="25"/>
        <v>19-Jan-2011</v>
      </c>
      <c r="D414">
        <v>1</v>
      </c>
      <c r="E414">
        <v>0</v>
      </c>
      <c r="F414">
        <v>1</v>
      </c>
      <c r="G414" t="str">
        <f t="shared" si="24"/>
        <v>Jan</v>
      </c>
      <c r="H414">
        <v>5</v>
      </c>
      <c r="I414">
        <f t="shared" si="26"/>
        <v>0</v>
      </c>
      <c r="J414" t="s">
        <v>126</v>
      </c>
      <c r="K414">
        <v>3</v>
      </c>
      <c r="L414" t="str">
        <f t="shared" si="27"/>
        <v>Weekday</v>
      </c>
      <c r="M414">
        <v>2</v>
      </c>
      <c r="N414" t="str" cm="1">
        <f t="array" ref="N414">_xlfn.IFS(M414=1,"Sunny Day",M414=2,"Cloudy Day",M414=3,"Rainy Day",M414=4,"Heavy Rain")</f>
        <v>Cloudy Day</v>
      </c>
      <c r="O414">
        <v>0.22</v>
      </c>
      <c r="P414">
        <v>0.2576</v>
      </c>
      <c r="Q414">
        <v>0.93</v>
      </c>
      <c r="R414">
        <v>8.9599999999999999E-2</v>
      </c>
      <c r="S414">
        <v>0</v>
      </c>
      <c r="T414">
        <v>7</v>
      </c>
      <c r="U414">
        <v>7</v>
      </c>
    </row>
    <row r="415" spans="1:21" x14ac:dyDescent="0.3">
      <c r="A415">
        <v>414</v>
      </c>
      <c r="B415" t="s">
        <v>41</v>
      </c>
      <c r="C415" t="str">
        <f t="shared" si="25"/>
        <v>19-Jan-2011</v>
      </c>
      <c r="D415">
        <v>1</v>
      </c>
      <c r="E415">
        <v>0</v>
      </c>
      <c r="F415">
        <v>1</v>
      </c>
      <c r="G415" t="str">
        <f t="shared" si="24"/>
        <v>Jan</v>
      </c>
      <c r="H415">
        <v>6</v>
      </c>
      <c r="I415">
        <f t="shared" si="26"/>
        <v>0</v>
      </c>
      <c r="J415" t="s">
        <v>126</v>
      </c>
      <c r="K415">
        <v>3</v>
      </c>
      <c r="L415" t="str">
        <f t="shared" si="27"/>
        <v>Weekday</v>
      </c>
      <c r="M415">
        <v>2</v>
      </c>
      <c r="N415" t="str" cm="1">
        <f t="array" ref="N415">_xlfn.IFS(M415=1,"Sunny Day",M415=2,"Cloudy Day",M415=3,"Rainy Day",M415=4,"Heavy Rain")</f>
        <v>Cloudy Day</v>
      </c>
      <c r="O415">
        <v>0.22</v>
      </c>
      <c r="P415">
        <v>0.2576</v>
      </c>
      <c r="Q415">
        <v>0.93</v>
      </c>
      <c r="R415">
        <v>8.9599999999999999E-2</v>
      </c>
      <c r="S415">
        <v>0</v>
      </c>
      <c r="T415">
        <v>32</v>
      </c>
      <c r="U415">
        <v>32</v>
      </c>
    </row>
    <row r="416" spans="1:21" x14ac:dyDescent="0.3">
      <c r="A416">
        <v>415</v>
      </c>
      <c r="B416" t="s">
        <v>41</v>
      </c>
      <c r="C416" t="str">
        <f t="shared" si="25"/>
        <v>19-Jan-2011</v>
      </c>
      <c r="D416">
        <v>1</v>
      </c>
      <c r="E416">
        <v>0</v>
      </c>
      <c r="F416">
        <v>1</v>
      </c>
      <c r="G416" t="str">
        <f t="shared" si="24"/>
        <v>Jan</v>
      </c>
      <c r="H416">
        <v>7</v>
      </c>
      <c r="I416">
        <f t="shared" si="26"/>
        <v>0</v>
      </c>
      <c r="J416" t="s">
        <v>126</v>
      </c>
      <c r="K416">
        <v>3</v>
      </c>
      <c r="L416" t="str">
        <f t="shared" si="27"/>
        <v>Weekday</v>
      </c>
      <c r="M416">
        <v>2</v>
      </c>
      <c r="N416" t="str" cm="1">
        <f t="array" ref="N416">_xlfn.IFS(M416=1,"Sunny Day",M416=2,"Cloudy Day",M416=3,"Rainy Day",M416=4,"Heavy Rain")</f>
        <v>Cloudy Day</v>
      </c>
      <c r="O416">
        <v>0.24</v>
      </c>
      <c r="P416">
        <v>0.2576</v>
      </c>
      <c r="Q416">
        <v>0.92</v>
      </c>
      <c r="R416">
        <v>0.1045</v>
      </c>
      <c r="S416">
        <v>1</v>
      </c>
      <c r="T416">
        <v>89</v>
      </c>
      <c r="U416">
        <v>90</v>
      </c>
    </row>
    <row r="417" spans="1:21" x14ac:dyDescent="0.3">
      <c r="A417">
        <v>416</v>
      </c>
      <c r="B417" t="s">
        <v>41</v>
      </c>
      <c r="C417" t="str">
        <f t="shared" si="25"/>
        <v>19-Jan-2011</v>
      </c>
      <c r="D417">
        <v>1</v>
      </c>
      <c r="E417">
        <v>0</v>
      </c>
      <c r="F417">
        <v>1</v>
      </c>
      <c r="G417" t="str">
        <f t="shared" si="24"/>
        <v>Jan</v>
      </c>
      <c r="H417">
        <v>8</v>
      </c>
      <c r="I417">
        <f t="shared" si="26"/>
        <v>0</v>
      </c>
      <c r="J417" t="s">
        <v>126</v>
      </c>
      <c r="K417">
        <v>3</v>
      </c>
      <c r="L417" t="str">
        <f t="shared" si="27"/>
        <v>Weekday</v>
      </c>
      <c r="M417">
        <v>2</v>
      </c>
      <c r="N417" t="str" cm="1">
        <f t="array" ref="N417">_xlfn.IFS(M417=1,"Sunny Day",M417=2,"Cloudy Day",M417=3,"Rainy Day",M417=4,"Heavy Rain")</f>
        <v>Cloudy Day</v>
      </c>
      <c r="O417">
        <v>0.24</v>
      </c>
      <c r="P417">
        <v>0.2576</v>
      </c>
      <c r="Q417">
        <v>0.93</v>
      </c>
      <c r="R417">
        <v>0.1045</v>
      </c>
      <c r="S417">
        <v>1</v>
      </c>
      <c r="T417">
        <v>196</v>
      </c>
      <c r="U417">
        <v>197</v>
      </c>
    </row>
    <row r="418" spans="1:21" x14ac:dyDescent="0.3">
      <c r="A418">
        <v>417</v>
      </c>
      <c r="B418" t="s">
        <v>41</v>
      </c>
      <c r="C418" t="str">
        <f t="shared" si="25"/>
        <v>19-Jan-2011</v>
      </c>
      <c r="D418">
        <v>1</v>
      </c>
      <c r="E418">
        <v>0</v>
      </c>
      <c r="F418">
        <v>1</v>
      </c>
      <c r="G418" t="str">
        <f t="shared" si="24"/>
        <v>Jan</v>
      </c>
      <c r="H418">
        <v>9</v>
      </c>
      <c r="I418">
        <f t="shared" si="26"/>
        <v>0</v>
      </c>
      <c r="J418" t="s">
        <v>126</v>
      </c>
      <c r="K418">
        <v>3</v>
      </c>
      <c r="L418" t="str">
        <f t="shared" si="27"/>
        <v>Weekday</v>
      </c>
      <c r="M418">
        <v>2</v>
      </c>
      <c r="N418" t="str" cm="1">
        <f t="array" ref="N418">_xlfn.IFS(M418=1,"Sunny Day",M418=2,"Cloudy Day",M418=3,"Rainy Day",M418=4,"Heavy Rain")</f>
        <v>Cloudy Day</v>
      </c>
      <c r="O418">
        <v>0.24</v>
      </c>
      <c r="P418">
        <v>0.2576</v>
      </c>
      <c r="Q418">
        <v>0.93</v>
      </c>
      <c r="R418">
        <v>0.1045</v>
      </c>
      <c r="S418">
        <v>2</v>
      </c>
      <c r="T418">
        <v>107</v>
      </c>
      <c r="U418">
        <v>109</v>
      </c>
    </row>
    <row r="419" spans="1:21" x14ac:dyDescent="0.3">
      <c r="A419">
        <v>418</v>
      </c>
      <c r="B419" t="s">
        <v>41</v>
      </c>
      <c r="C419" t="str">
        <f t="shared" si="25"/>
        <v>19-Jan-2011</v>
      </c>
      <c r="D419">
        <v>1</v>
      </c>
      <c r="E419">
        <v>0</v>
      </c>
      <c r="F419">
        <v>1</v>
      </c>
      <c r="G419" t="str">
        <f t="shared" si="24"/>
        <v>Jan</v>
      </c>
      <c r="H419">
        <v>10</v>
      </c>
      <c r="I419">
        <f t="shared" si="26"/>
        <v>0</v>
      </c>
      <c r="J419" t="s">
        <v>126</v>
      </c>
      <c r="K419">
        <v>3</v>
      </c>
      <c r="L419" t="str">
        <f t="shared" si="27"/>
        <v>Weekday</v>
      </c>
      <c r="M419">
        <v>2</v>
      </c>
      <c r="N419" t="str" cm="1">
        <f t="array" ref="N419">_xlfn.IFS(M419=1,"Sunny Day",M419=2,"Cloudy Day",M419=3,"Rainy Day",M419=4,"Heavy Rain")</f>
        <v>Cloudy Day</v>
      </c>
      <c r="O419">
        <v>0.26</v>
      </c>
      <c r="P419">
        <v>0.2727</v>
      </c>
      <c r="Q419">
        <v>0.93</v>
      </c>
      <c r="R419">
        <v>0.1343</v>
      </c>
      <c r="S419">
        <v>1</v>
      </c>
      <c r="T419">
        <v>46</v>
      </c>
      <c r="U419">
        <v>47</v>
      </c>
    </row>
    <row r="420" spans="1:21" x14ac:dyDescent="0.3">
      <c r="A420">
        <v>419</v>
      </c>
      <c r="B420" t="s">
        <v>41</v>
      </c>
      <c r="C420" t="str">
        <f t="shared" si="25"/>
        <v>19-Jan-2011</v>
      </c>
      <c r="D420">
        <v>1</v>
      </c>
      <c r="E420">
        <v>0</v>
      </c>
      <c r="F420">
        <v>1</v>
      </c>
      <c r="G420" t="str">
        <f t="shared" si="24"/>
        <v>Jan</v>
      </c>
      <c r="H420">
        <v>11</v>
      </c>
      <c r="I420">
        <f t="shared" si="26"/>
        <v>1</v>
      </c>
      <c r="J420" t="s">
        <v>126</v>
      </c>
      <c r="K420">
        <v>3</v>
      </c>
      <c r="L420" t="str">
        <f t="shared" si="27"/>
        <v>Weekday</v>
      </c>
      <c r="M420">
        <v>2</v>
      </c>
      <c r="N420" t="str" cm="1">
        <f t="array" ref="N420">_xlfn.IFS(M420=1,"Sunny Day",M420=2,"Cloudy Day",M420=3,"Rainy Day",M420=4,"Heavy Rain")</f>
        <v>Cloudy Day</v>
      </c>
      <c r="O420">
        <v>0.28000000000000003</v>
      </c>
      <c r="P420">
        <v>0.30299999999999999</v>
      </c>
      <c r="Q420">
        <v>0.87</v>
      </c>
      <c r="R420">
        <v>8.9599999999999999E-2</v>
      </c>
      <c r="S420">
        <v>5</v>
      </c>
      <c r="T420">
        <v>47</v>
      </c>
      <c r="U420">
        <v>52</v>
      </c>
    </row>
    <row r="421" spans="1:21" x14ac:dyDescent="0.3">
      <c r="A421">
        <v>420</v>
      </c>
      <c r="B421" t="s">
        <v>41</v>
      </c>
      <c r="C421" t="str">
        <f t="shared" si="25"/>
        <v>19-Jan-2011</v>
      </c>
      <c r="D421">
        <v>1</v>
      </c>
      <c r="E421">
        <v>0</v>
      </c>
      <c r="F421">
        <v>1</v>
      </c>
      <c r="G421" t="str">
        <f t="shared" si="24"/>
        <v>Jan</v>
      </c>
      <c r="H421">
        <v>12</v>
      </c>
      <c r="I421">
        <f t="shared" si="26"/>
        <v>1</v>
      </c>
      <c r="J421" t="s">
        <v>126</v>
      </c>
      <c r="K421">
        <v>3</v>
      </c>
      <c r="L421" t="str">
        <f t="shared" si="27"/>
        <v>Weekday</v>
      </c>
      <c r="M421">
        <v>2</v>
      </c>
      <c r="N421" t="str" cm="1">
        <f t="array" ref="N421">_xlfn.IFS(M421=1,"Sunny Day",M421=2,"Cloudy Day",M421=3,"Rainy Day",M421=4,"Heavy Rain")</f>
        <v>Cloudy Day</v>
      </c>
      <c r="O421">
        <v>0.3</v>
      </c>
      <c r="P421">
        <v>0.31819999999999998</v>
      </c>
      <c r="Q421">
        <v>0.81</v>
      </c>
      <c r="R421">
        <v>8.9599999999999999E-2</v>
      </c>
      <c r="S421">
        <v>5</v>
      </c>
      <c r="T421">
        <v>65</v>
      </c>
      <c r="U421">
        <v>70</v>
      </c>
    </row>
    <row r="422" spans="1:21" x14ac:dyDescent="0.3">
      <c r="A422">
        <v>421</v>
      </c>
      <c r="B422" t="s">
        <v>41</v>
      </c>
      <c r="C422" t="str">
        <f t="shared" si="25"/>
        <v>19-Jan-2011</v>
      </c>
      <c r="D422">
        <v>1</v>
      </c>
      <c r="E422">
        <v>0</v>
      </c>
      <c r="F422">
        <v>1</v>
      </c>
      <c r="G422" t="str">
        <f t="shared" si="24"/>
        <v>Jan</v>
      </c>
      <c r="H422">
        <v>13</v>
      </c>
      <c r="I422">
        <f t="shared" si="26"/>
        <v>1</v>
      </c>
      <c r="J422" t="s">
        <v>126</v>
      </c>
      <c r="K422">
        <v>3</v>
      </c>
      <c r="L422" t="str">
        <f t="shared" si="27"/>
        <v>Weekday</v>
      </c>
      <c r="M422">
        <v>1</v>
      </c>
      <c r="N422" t="str" cm="1">
        <f t="array" ref="N422">_xlfn.IFS(M422=1,"Sunny Day",M422=2,"Cloudy Day",M422=3,"Rainy Day",M422=4,"Heavy Rain")</f>
        <v>Sunny Day</v>
      </c>
      <c r="O422">
        <v>0.4</v>
      </c>
      <c r="P422">
        <v>0.40910000000000002</v>
      </c>
      <c r="Q422">
        <v>0.62</v>
      </c>
      <c r="R422">
        <v>0.28360000000000002</v>
      </c>
      <c r="S422">
        <v>11</v>
      </c>
      <c r="T422">
        <v>67</v>
      </c>
      <c r="U422">
        <v>78</v>
      </c>
    </row>
    <row r="423" spans="1:21" x14ac:dyDescent="0.3">
      <c r="A423">
        <v>422</v>
      </c>
      <c r="B423" t="s">
        <v>41</v>
      </c>
      <c r="C423" t="str">
        <f t="shared" si="25"/>
        <v>19-Jan-2011</v>
      </c>
      <c r="D423">
        <v>1</v>
      </c>
      <c r="E423">
        <v>0</v>
      </c>
      <c r="F423">
        <v>1</v>
      </c>
      <c r="G423" t="str">
        <f t="shared" si="24"/>
        <v>Jan</v>
      </c>
      <c r="H423">
        <v>14</v>
      </c>
      <c r="I423">
        <f t="shared" si="26"/>
        <v>1</v>
      </c>
      <c r="J423" t="s">
        <v>126</v>
      </c>
      <c r="K423">
        <v>3</v>
      </c>
      <c r="L423" t="str">
        <f t="shared" si="27"/>
        <v>Weekday</v>
      </c>
      <c r="M423">
        <v>1</v>
      </c>
      <c r="N423" t="str" cm="1">
        <f t="array" ref="N423">_xlfn.IFS(M423=1,"Sunny Day",M423=2,"Cloudy Day",M423=3,"Rainy Day",M423=4,"Heavy Rain")</f>
        <v>Sunny Day</v>
      </c>
      <c r="O423">
        <v>0.4</v>
      </c>
      <c r="P423">
        <v>0.40910000000000002</v>
      </c>
      <c r="Q423">
        <v>0.57999999999999996</v>
      </c>
      <c r="R423">
        <v>0.25369999999999998</v>
      </c>
      <c r="S423">
        <v>7</v>
      </c>
      <c r="T423">
        <v>68</v>
      </c>
      <c r="U423">
        <v>75</v>
      </c>
    </row>
    <row r="424" spans="1:21" x14ac:dyDescent="0.3">
      <c r="A424">
        <v>423</v>
      </c>
      <c r="B424" t="s">
        <v>41</v>
      </c>
      <c r="C424" t="str">
        <f t="shared" si="25"/>
        <v>19-Jan-2011</v>
      </c>
      <c r="D424">
        <v>1</v>
      </c>
      <c r="E424">
        <v>0</v>
      </c>
      <c r="F424">
        <v>1</v>
      </c>
      <c r="G424" t="str">
        <f t="shared" si="24"/>
        <v>Jan</v>
      </c>
      <c r="H424">
        <v>15</v>
      </c>
      <c r="I424">
        <f t="shared" si="26"/>
        <v>1</v>
      </c>
      <c r="J424" t="s">
        <v>126</v>
      </c>
      <c r="K424">
        <v>3</v>
      </c>
      <c r="L424" t="str">
        <f t="shared" si="27"/>
        <v>Weekday</v>
      </c>
      <c r="M424">
        <v>1</v>
      </c>
      <c r="N424" t="str" cm="1">
        <f t="array" ref="N424">_xlfn.IFS(M424=1,"Sunny Day",M424=2,"Cloudy Day",M424=3,"Rainy Day",M424=4,"Heavy Rain")</f>
        <v>Sunny Day</v>
      </c>
      <c r="O424">
        <v>0.4</v>
      </c>
      <c r="P424">
        <v>0.40910000000000002</v>
      </c>
      <c r="Q424">
        <v>0.54</v>
      </c>
      <c r="R424">
        <v>0.28360000000000002</v>
      </c>
      <c r="S424">
        <v>4</v>
      </c>
      <c r="T424">
        <v>78</v>
      </c>
      <c r="U424">
        <v>82</v>
      </c>
    </row>
    <row r="425" spans="1:21" x14ac:dyDescent="0.3">
      <c r="A425">
        <v>424</v>
      </c>
      <c r="B425" t="s">
        <v>41</v>
      </c>
      <c r="C425" t="str">
        <f t="shared" si="25"/>
        <v>19-Jan-2011</v>
      </c>
      <c r="D425">
        <v>1</v>
      </c>
      <c r="E425">
        <v>0</v>
      </c>
      <c r="F425">
        <v>1</v>
      </c>
      <c r="G425" t="str">
        <f t="shared" si="24"/>
        <v>Jan</v>
      </c>
      <c r="H425">
        <v>16</v>
      </c>
      <c r="I425">
        <f t="shared" si="26"/>
        <v>1</v>
      </c>
      <c r="J425" t="s">
        <v>126</v>
      </c>
      <c r="K425">
        <v>3</v>
      </c>
      <c r="L425" t="str">
        <f t="shared" si="27"/>
        <v>Weekday</v>
      </c>
      <c r="M425">
        <v>1</v>
      </c>
      <c r="N425" t="str" cm="1">
        <f t="array" ref="N425">_xlfn.IFS(M425=1,"Sunny Day",M425=2,"Cloudy Day",M425=3,"Rainy Day",M425=4,"Heavy Rain")</f>
        <v>Sunny Day</v>
      </c>
      <c r="O425">
        <v>0.38</v>
      </c>
      <c r="P425">
        <v>0.39389999999999997</v>
      </c>
      <c r="Q425">
        <v>0.57999999999999996</v>
      </c>
      <c r="R425">
        <v>0.3881</v>
      </c>
      <c r="S425">
        <v>10</v>
      </c>
      <c r="T425">
        <v>94</v>
      </c>
      <c r="U425">
        <v>104</v>
      </c>
    </row>
    <row r="426" spans="1:21" x14ac:dyDescent="0.3">
      <c r="A426">
        <v>425</v>
      </c>
      <c r="B426" t="s">
        <v>41</v>
      </c>
      <c r="C426" t="str">
        <f t="shared" si="25"/>
        <v>19-Jan-2011</v>
      </c>
      <c r="D426">
        <v>1</v>
      </c>
      <c r="E426">
        <v>0</v>
      </c>
      <c r="F426">
        <v>1</v>
      </c>
      <c r="G426" t="str">
        <f t="shared" si="24"/>
        <v>Jan</v>
      </c>
      <c r="H426">
        <v>17</v>
      </c>
      <c r="I426">
        <f t="shared" si="26"/>
        <v>1</v>
      </c>
      <c r="J426" t="s">
        <v>126</v>
      </c>
      <c r="K426">
        <v>3</v>
      </c>
      <c r="L426" t="str">
        <f t="shared" si="27"/>
        <v>Weekday</v>
      </c>
      <c r="M426">
        <v>1</v>
      </c>
      <c r="N426" t="str" cm="1">
        <f t="array" ref="N426">_xlfn.IFS(M426=1,"Sunny Day",M426=2,"Cloudy Day",M426=3,"Rainy Day",M426=4,"Heavy Rain")</f>
        <v>Sunny Day</v>
      </c>
      <c r="O426">
        <v>0.36</v>
      </c>
      <c r="P426">
        <v>0.33329999999999999</v>
      </c>
      <c r="Q426">
        <v>0.56999999999999995</v>
      </c>
      <c r="R426">
        <v>0.32840000000000003</v>
      </c>
      <c r="S426">
        <v>7</v>
      </c>
      <c r="T426">
        <v>190</v>
      </c>
      <c r="U426">
        <v>197</v>
      </c>
    </row>
    <row r="427" spans="1:21" x14ac:dyDescent="0.3">
      <c r="A427">
        <v>426</v>
      </c>
      <c r="B427" t="s">
        <v>41</v>
      </c>
      <c r="C427" t="str">
        <f t="shared" si="25"/>
        <v>19-Jan-2011</v>
      </c>
      <c r="D427">
        <v>1</v>
      </c>
      <c r="E427">
        <v>0</v>
      </c>
      <c r="F427">
        <v>1</v>
      </c>
      <c r="G427" t="str">
        <f t="shared" si="24"/>
        <v>Jan</v>
      </c>
      <c r="H427">
        <v>18</v>
      </c>
      <c r="I427">
        <f t="shared" si="26"/>
        <v>1</v>
      </c>
      <c r="J427" t="s">
        <v>126</v>
      </c>
      <c r="K427">
        <v>3</v>
      </c>
      <c r="L427" t="str">
        <f t="shared" si="27"/>
        <v>Weekday</v>
      </c>
      <c r="M427">
        <v>1</v>
      </c>
      <c r="N427" t="str" cm="1">
        <f t="array" ref="N427">_xlfn.IFS(M427=1,"Sunny Day",M427=2,"Cloudy Day",M427=3,"Rainy Day",M427=4,"Heavy Rain")</f>
        <v>Sunny Day</v>
      </c>
      <c r="O427">
        <v>0.34</v>
      </c>
      <c r="P427">
        <v>0.31819999999999998</v>
      </c>
      <c r="Q427">
        <v>0.61</v>
      </c>
      <c r="R427">
        <v>0.28360000000000002</v>
      </c>
      <c r="S427">
        <v>5</v>
      </c>
      <c r="T427">
        <v>156</v>
      </c>
      <c r="U427">
        <v>161</v>
      </c>
    </row>
    <row r="428" spans="1:21" x14ac:dyDescent="0.3">
      <c r="A428">
        <v>427</v>
      </c>
      <c r="B428" t="s">
        <v>41</v>
      </c>
      <c r="C428" t="str">
        <f t="shared" si="25"/>
        <v>19-Jan-2011</v>
      </c>
      <c r="D428">
        <v>1</v>
      </c>
      <c r="E428">
        <v>0</v>
      </c>
      <c r="F428">
        <v>1</v>
      </c>
      <c r="G428" t="str">
        <f t="shared" si="24"/>
        <v>Jan</v>
      </c>
      <c r="H428">
        <v>19</v>
      </c>
      <c r="I428">
        <f t="shared" si="26"/>
        <v>1</v>
      </c>
      <c r="J428" t="s">
        <v>126</v>
      </c>
      <c r="K428">
        <v>3</v>
      </c>
      <c r="L428" t="str">
        <f t="shared" si="27"/>
        <v>Weekday</v>
      </c>
      <c r="M428">
        <v>1</v>
      </c>
      <c r="N428" t="str" cm="1">
        <f t="array" ref="N428">_xlfn.IFS(M428=1,"Sunny Day",M428=2,"Cloudy Day",M428=3,"Rainy Day",M428=4,"Heavy Rain")</f>
        <v>Sunny Day</v>
      </c>
      <c r="O428">
        <v>0.32</v>
      </c>
      <c r="P428">
        <v>0.28789999999999999</v>
      </c>
      <c r="Q428">
        <v>0.56999999999999995</v>
      </c>
      <c r="R428">
        <v>0.41789999999999999</v>
      </c>
      <c r="S428">
        <v>4</v>
      </c>
      <c r="T428">
        <v>108</v>
      </c>
      <c r="U428">
        <v>112</v>
      </c>
    </row>
    <row r="429" spans="1:21" x14ac:dyDescent="0.3">
      <c r="A429">
        <v>428</v>
      </c>
      <c r="B429" t="s">
        <v>41</v>
      </c>
      <c r="C429" t="str">
        <f t="shared" si="25"/>
        <v>19-Jan-2011</v>
      </c>
      <c r="D429">
        <v>1</v>
      </c>
      <c r="E429">
        <v>0</v>
      </c>
      <c r="F429">
        <v>1</v>
      </c>
      <c r="G429" t="str">
        <f t="shared" si="24"/>
        <v>Jan</v>
      </c>
      <c r="H429">
        <v>20</v>
      </c>
      <c r="I429">
        <f t="shared" si="26"/>
        <v>1</v>
      </c>
      <c r="J429" t="s">
        <v>126</v>
      </c>
      <c r="K429">
        <v>3</v>
      </c>
      <c r="L429" t="str">
        <f t="shared" si="27"/>
        <v>Weekday</v>
      </c>
      <c r="M429">
        <v>1</v>
      </c>
      <c r="N429" t="str" cm="1">
        <f t="array" ref="N429">_xlfn.IFS(M429=1,"Sunny Day",M429=2,"Cloudy Day",M429=3,"Rainy Day",M429=4,"Heavy Rain")</f>
        <v>Sunny Day</v>
      </c>
      <c r="O429">
        <v>0.32</v>
      </c>
      <c r="P429">
        <v>0.30299999999999999</v>
      </c>
      <c r="Q429">
        <v>0.49</v>
      </c>
      <c r="R429">
        <v>0.29849999999999999</v>
      </c>
      <c r="S429">
        <v>2</v>
      </c>
      <c r="T429">
        <v>74</v>
      </c>
      <c r="U429">
        <v>76</v>
      </c>
    </row>
    <row r="430" spans="1:21" x14ac:dyDescent="0.3">
      <c r="A430">
        <v>429</v>
      </c>
      <c r="B430" t="s">
        <v>41</v>
      </c>
      <c r="C430" t="str">
        <f t="shared" si="25"/>
        <v>19-Jan-2011</v>
      </c>
      <c r="D430">
        <v>1</v>
      </c>
      <c r="E430">
        <v>0</v>
      </c>
      <c r="F430">
        <v>1</v>
      </c>
      <c r="G430" t="str">
        <f t="shared" si="24"/>
        <v>Jan</v>
      </c>
      <c r="H430">
        <v>21</v>
      </c>
      <c r="I430">
        <f t="shared" si="26"/>
        <v>1</v>
      </c>
      <c r="J430" t="s">
        <v>126</v>
      </c>
      <c r="K430">
        <v>3</v>
      </c>
      <c r="L430" t="str">
        <f t="shared" si="27"/>
        <v>Weekday</v>
      </c>
      <c r="M430">
        <v>1</v>
      </c>
      <c r="N430" t="str" cm="1">
        <f t="array" ref="N430">_xlfn.IFS(M430=1,"Sunny Day",M430=2,"Cloudy Day",M430=3,"Rainy Day",M430=4,"Heavy Rain")</f>
        <v>Sunny Day</v>
      </c>
      <c r="O430">
        <v>0.32</v>
      </c>
      <c r="P430">
        <v>0.28789999999999999</v>
      </c>
      <c r="Q430">
        <v>0.49</v>
      </c>
      <c r="R430">
        <v>0.41789999999999999</v>
      </c>
      <c r="S430">
        <v>4</v>
      </c>
      <c r="T430">
        <v>55</v>
      </c>
      <c r="U430">
        <v>59</v>
      </c>
    </row>
    <row r="431" spans="1:21" x14ac:dyDescent="0.3">
      <c r="A431">
        <v>430</v>
      </c>
      <c r="B431" t="s">
        <v>41</v>
      </c>
      <c r="C431" t="str">
        <f t="shared" si="25"/>
        <v>19-Jan-2011</v>
      </c>
      <c r="D431">
        <v>1</v>
      </c>
      <c r="E431">
        <v>0</v>
      </c>
      <c r="F431">
        <v>1</v>
      </c>
      <c r="G431" t="str">
        <f t="shared" si="24"/>
        <v>Jan</v>
      </c>
      <c r="H431">
        <v>22</v>
      </c>
      <c r="I431">
        <f t="shared" si="26"/>
        <v>1</v>
      </c>
      <c r="J431" t="s">
        <v>126</v>
      </c>
      <c r="K431">
        <v>3</v>
      </c>
      <c r="L431" t="str">
        <f t="shared" si="27"/>
        <v>Weekday</v>
      </c>
      <c r="M431">
        <v>1</v>
      </c>
      <c r="N431" t="str" cm="1">
        <f t="array" ref="N431">_xlfn.IFS(M431=1,"Sunny Day",M431=2,"Cloudy Day",M431=3,"Rainy Day",M431=4,"Heavy Rain")</f>
        <v>Sunny Day</v>
      </c>
      <c r="O431">
        <v>0.3</v>
      </c>
      <c r="P431">
        <v>0.30299999999999999</v>
      </c>
      <c r="Q431">
        <v>0.52</v>
      </c>
      <c r="R431">
        <v>0.16420000000000001</v>
      </c>
      <c r="S431">
        <v>6</v>
      </c>
      <c r="T431">
        <v>53</v>
      </c>
      <c r="U431">
        <v>59</v>
      </c>
    </row>
    <row r="432" spans="1:21" x14ac:dyDescent="0.3">
      <c r="A432">
        <v>431</v>
      </c>
      <c r="B432" t="s">
        <v>41</v>
      </c>
      <c r="C432" t="str">
        <f t="shared" si="25"/>
        <v>19-Jan-2011</v>
      </c>
      <c r="D432">
        <v>1</v>
      </c>
      <c r="E432">
        <v>0</v>
      </c>
      <c r="F432">
        <v>1</v>
      </c>
      <c r="G432" t="str">
        <f t="shared" si="24"/>
        <v>Jan</v>
      </c>
      <c r="H432">
        <v>23</v>
      </c>
      <c r="I432">
        <f t="shared" si="26"/>
        <v>1</v>
      </c>
      <c r="J432" t="s">
        <v>126</v>
      </c>
      <c r="K432">
        <v>3</v>
      </c>
      <c r="L432" t="str">
        <f t="shared" si="27"/>
        <v>Weekday</v>
      </c>
      <c r="M432">
        <v>1</v>
      </c>
      <c r="N432" t="str" cm="1">
        <f t="array" ref="N432">_xlfn.IFS(M432=1,"Sunny Day",M432=2,"Cloudy Day",M432=3,"Rainy Day",M432=4,"Heavy Rain")</f>
        <v>Sunny Day</v>
      </c>
      <c r="O432">
        <v>0.3</v>
      </c>
      <c r="P432">
        <v>0.2727</v>
      </c>
      <c r="Q432">
        <v>0.52</v>
      </c>
      <c r="R432">
        <v>0.4627</v>
      </c>
      <c r="S432">
        <v>1</v>
      </c>
      <c r="T432">
        <v>27</v>
      </c>
      <c r="U432">
        <v>28</v>
      </c>
    </row>
    <row r="433" spans="1:21" x14ac:dyDescent="0.3">
      <c r="A433">
        <v>432</v>
      </c>
      <c r="B433" t="s">
        <v>43</v>
      </c>
      <c r="C433" t="str">
        <f t="shared" si="25"/>
        <v>20-Jan-2011</v>
      </c>
      <c r="D433">
        <v>1</v>
      </c>
      <c r="E433">
        <v>0</v>
      </c>
      <c r="F433">
        <v>1</v>
      </c>
      <c r="G433" t="str">
        <f t="shared" si="24"/>
        <v>Jan</v>
      </c>
      <c r="H433">
        <v>0</v>
      </c>
      <c r="I433">
        <f t="shared" si="26"/>
        <v>0</v>
      </c>
      <c r="J433" t="s">
        <v>126</v>
      </c>
      <c r="K433">
        <v>4</v>
      </c>
      <c r="L433" t="str">
        <f t="shared" si="27"/>
        <v>Weekday</v>
      </c>
      <c r="M433">
        <v>1</v>
      </c>
      <c r="N433" t="str" cm="1">
        <f t="array" ref="N433">_xlfn.IFS(M433=1,"Sunny Day",M433=2,"Cloudy Day",M433=3,"Rainy Day",M433=4,"Heavy Rain")</f>
        <v>Sunny Day</v>
      </c>
      <c r="O433">
        <v>0.26</v>
      </c>
      <c r="P433">
        <v>0.2273</v>
      </c>
      <c r="Q433">
        <v>0.56000000000000005</v>
      </c>
      <c r="R433">
        <v>0.3881</v>
      </c>
      <c r="S433">
        <v>5</v>
      </c>
      <c r="T433">
        <v>8</v>
      </c>
      <c r="U433">
        <v>13</v>
      </c>
    </row>
    <row r="434" spans="1:21" x14ac:dyDescent="0.3">
      <c r="A434">
        <v>433</v>
      </c>
      <c r="B434" t="s">
        <v>43</v>
      </c>
      <c r="C434" t="str">
        <f t="shared" si="25"/>
        <v>20-Jan-2011</v>
      </c>
      <c r="D434">
        <v>1</v>
      </c>
      <c r="E434">
        <v>0</v>
      </c>
      <c r="F434">
        <v>1</v>
      </c>
      <c r="G434" t="str">
        <f t="shared" si="24"/>
        <v>Jan</v>
      </c>
      <c r="H434">
        <v>1</v>
      </c>
      <c r="I434">
        <f t="shared" si="26"/>
        <v>0</v>
      </c>
      <c r="J434" t="s">
        <v>126</v>
      </c>
      <c r="K434">
        <v>4</v>
      </c>
      <c r="L434" t="str">
        <f t="shared" si="27"/>
        <v>Weekday</v>
      </c>
      <c r="M434">
        <v>1</v>
      </c>
      <c r="N434" t="str" cm="1">
        <f t="array" ref="N434">_xlfn.IFS(M434=1,"Sunny Day",M434=2,"Cloudy Day",M434=3,"Rainy Day",M434=4,"Heavy Rain")</f>
        <v>Sunny Day</v>
      </c>
      <c r="O434">
        <v>0.26</v>
      </c>
      <c r="P434">
        <v>0.2727</v>
      </c>
      <c r="Q434">
        <v>0.56000000000000005</v>
      </c>
      <c r="R434">
        <v>0</v>
      </c>
      <c r="S434">
        <v>2</v>
      </c>
      <c r="T434">
        <v>3</v>
      </c>
      <c r="U434">
        <v>5</v>
      </c>
    </row>
    <row r="435" spans="1:21" x14ac:dyDescent="0.3">
      <c r="A435">
        <v>434</v>
      </c>
      <c r="B435" t="s">
        <v>43</v>
      </c>
      <c r="C435" t="str">
        <f t="shared" si="25"/>
        <v>20-Jan-2011</v>
      </c>
      <c r="D435">
        <v>1</v>
      </c>
      <c r="E435">
        <v>0</v>
      </c>
      <c r="F435">
        <v>1</v>
      </c>
      <c r="G435" t="str">
        <f t="shared" si="24"/>
        <v>Jan</v>
      </c>
      <c r="H435">
        <v>2</v>
      </c>
      <c r="I435">
        <f t="shared" si="26"/>
        <v>0</v>
      </c>
      <c r="J435" t="s">
        <v>126</v>
      </c>
      <c r="K435">
        <v>4</v>
      </c>
      <c r="L435" t="str">
        <f t="shared" si="27"/>
        <v>Weekday</v>
      </c>
      <c r="M435">
        <v>1</v>
      </c>
      <c r="N435" t="str" cm="1">
        <f t="array" ref="N435">_xlfn.IFS(M435=1,"Sunny Day",M435=2,"Cloudy Day",M435=3,"Rainy Day",M435=4,"Heavy Rain")</f>
        <v>Sunny Day</v>
      </c>
      <c r="O435">
        <v>0.26</v>
      </c>
      <c r="P435">
        <v>0.2727</v>
      </c>
      <c r="Q435">
        <v>0.56000000000000005</v>
      </c>
      <c r="R435">
        <v>0</v>
      </c>
      <c r="S435">
        <v>0</v>
      </c>
      <c r="T435">
        <v>2</v>
      </c>
      <c r="U435">
        <v>2</v>
      </c>
    </row>
    <row r="436" spans="1:21" x14ac:dyDescent="0.3">
      <c r="A436">
        <v>435</v>
      </c>
      <c r="B436" t="s">
        <v>43</v>
      </c>
      <c r="C436" t="str">
        <f t="shared" si="25"/>
        <v>20-Jan-2011</v>
      </c>
      <c r="D436">
        <v>1</v>
      </c>
      <c r="E436">
        <v>0</v>
      </c>
      <c r="F436">
        <v>1</v>
      </c>
      <c r="G436" t="str">
        <f t="shared" si="24"/>
        <v>Jan</v>
      </c>
      <c r="H436">
        <v>3</v>
      </c>
      <c r="I436">
        <f t="shared" si="26"/>
        <v>0</v>
      </c>
      <c r="J436" t="s">
        <v>126</v>
      </c>
      <c r="K436">
        <v>4</v>
      </c>
      <c r="L436" t="str">
        <f t="shared" si="27"/>
        <v>Weekday</v>
      </c>
      <c r="M436">
        <v>1</v>
      </c>
      <c r="N436" t="str" cm="1">
        <f t="array" ref="N436">_xlfn.IFS(M436=1,"Sunny Day",M436=2,"Cloudy Day",M436=3,"Rainy Day",M436=4,"Heavy Rain")</f>
        <v>Sunny Day</v>
      </c>
      <c r="O436">
        <v>0.26</v>
      </c>
      <c r="P436">
        <v>0.2576</v>
      </c>
      <c r="Q436">
        <v>0.56000000000000005</v>
      </c>
      <c r="R436">
        <v>0.16420000000000001</v>
      </c>
      <c r="S436">
        <v>0</v>
      </c>
      <c r="T436">
        <v>1</v>
      </c>
      <c r="U436">
        <v>1</v>
      </c>
    </row>
    <row r="437" spans="1:21" x14ac:dyDescent="0.3">
      <c r="A437">
        <v>436</v>
      </c>
      <c r="B437" t="s">
        <v>43</v>
      </c>
      <c r="C437" t="str">
        <f t="shared" si="25"/>
        <v>20-Jan-2011</v>
      </c>
      <c r="D437">
        <v>1</v>
      </c>
      <c r="E437">
        <v>0</v>
      </c>
      <c r="F437">
        <v>1</v>
      </c>
      <c r="G437" t="str">
        <f t="shared" si="24"/>
        <v>Jan</v>
      </c>
      <c r="H437">
        <v>4</v>
      </c>
      <c r="I437">
        <f t="shared" si="26"/>
        <v>0</v>
      </c>
      <c r="J437" t="s">
        <v>126</v>
      </c>
      <c r="K437">
        <v>4</v>
      </c>
      <c r="L437" t="str">
        <f t="shared" si="27"/>
        <v>Weekday</v>
      </c>
      <c r="M437">
        <v>1</v>
      </c>
      <c r="N437" t="str" cm="1">
        <f t="array" ref="N437">_xlfn.IFS(M437=1,"Sunny Day",M437=2,"Cloudy Day",M437=3,"Rainy Day",M437=4,"Heavy Rain")</f>
        <v>Sunny Day</v>
      </c>
      <c r="O437">
        <v>0.26</v>
      </c>
      <c r="P437">
        <v>0.2576</v>
      </c>
      <c r="Q437">
        <v>0.56000000000000005</v>
      </c>
      <c r="R437">
        <v>0.16420000000000001</v>
      </c>
      <c r="S437">
        <v>0</v>
      </c>
      <c r="T437">
        <v>1</v>
      </c>
      <c r="U437">
        <v>1</v>
      </c>
    </row>
    <row r="438" spans="1:21" x14ac:dyDescent="0.3">
      <c r="A438">
        <v>437</v>
      </c>
      <c r="B438" t="s">
        <v>43</v>
      </c>
      <c r="C438" t="str">
        <f t="shared" si="25"/>
        <v>20-Jan-2011</v>
      </c>
      <c r="D438">
        <v>1</v>
      </c>
      <c r="E438">
        <v>0</v>
      </c>
      <c r="F438">
        <v>1</v>
      </c>
      <c r="G438" t="str">
        <f t="shared" si="24"/>
        <v>Jan</v>
      </c>
      <c r="H438">
        <v>5</v>
      </c>
      <c r="I438">
        <f t="shared" si="26"/>
        <v>0</v>
      </c>
      <c r="J438" t="s">
        <v>126</v>
      </c>
      <c r="K438">
        <v>4</v>
      </c>
      <c r="L438" t="str">
        <f t="shared" si="27"/>
        <v>Weekday</v>
      </c>
      <c r="M438">
        <v>1</v>
      </c>
      <c r="N438" t="str" cm="1">
        <f t="array" ref="N438">_xlfn.IFS(M438=1,"Sunny Day",M438=2,"Cloudy Day",M438=3,"Rainy Day",M438=4,"Heavy Rain")</f>
        <v>Sunny Day</v>
      </c>
      <c r="O438">
        <v>0.24</v>
      </c>
      <c r="P438">
        <v>0.2273</v>
      </c>
      <c r="Q438">
        <v>0.6</v>
      </c>
      <c r="R438">
        <v>0.22389999999999999</v>
      </c>
      <c r="S438">
        <v>0</v>
      </c>
      <c r="T438">
        <v>6</v>
      </c>
      <c r="U438">
        <v>6</v>
      </c>
    </row>
    <row r="439" spans="1:21" x14ac:dyDescent="0.3">
      <c r="A439">
        <v>438</v>
      </c>
      <c r="B439" t="s">
        <v>43</v>
      </c>
      <c r="C439" t="str">
        <f t="shared" si="25"/>
        <v>20-Jan-2011</v>
      </c>
      <c r="D439">
        <v>1</v>
      </c>
      <c r="E439">
        <v>0</v>
      </c>
      <c r="F439">
        <v>1</v>
      </c>
      <c r="G439" t="str">
        <f t="shared" si="24"/>
        <v>Jan</v>
      </c>
      <c r="H439">
        <v>6</v>
      </c>
      <c r="I439">
        <f t="shared" si="26"/>
        <v>0</v>
      </c>
      <c r="J439" t="s">
        <v>126</v>
      </c>
      <c r="K439">
        <v>4</v>
      </c>
      <c r="L439" t="str">
        <f t="shared" si="27"/>
        <v>Weekday</v>
      </c>
      <c r="M439">
        <v>1</v>
      </c>
      <c r="N439" t="str" cm="1">
        <f t="array" ref="N439">_xlfn.IFS(M439=1,"Sunny Day",M439=2,"Cloudy Day",M439=3,"Rainy Day",M439=4,"Heavy Rain")</f>
        <v>Sunny Day</v>
      </c>
      <c r="O439">
        <v>0.22</v>
      </c>
      <c r="P439">
        <v>0.21210000000000001</v>
      </c>
      <c r="Q439">
        <v>0.6</v>
      </c>
      <c r="R439">
        <v>0.22389999999999999</v>
      </c>
      <c r="S439">
        <v>0</v>
      </c>
      <c r="T439">
        <v>35</v>
      </c>
      <c r="U439">
        <v>35</v>
      </c>
    </row>
    <row r="440" spans="1:21" x14ac:dyDescent="0.3">
      <c r="A440">
        <v>439</v>
      </c>
      <c r="B440" t="s">
        <v>43</v>
      </c>
      <c r="C440" t="str">
        <f t="shared" si="25"/>
        <v>20-Jan-2011</v>
      </c>
      <c r="D440">
        <v>1</v>
      </c>
      <c r="E440">
        <v>0</v>
      </c>
      <c r="F440">
        <v>1</v>
      </c>
      <c r="G440" t="str">
        <f t="shared" si="24"/>
        <v>Jan</v>
      </c>
      <c r="H440">
        <v>7</v>
      </c>
      <c r="I440">
        <f t="shared" si="26"/>
        <v>0</v>
      </c>
      <c r="J440" t="s">
        <v>126</v>
      </c>
      <c r="K440">
        <v>4</v>
      </c>
      <c r="L440" t="str">
        <f t="shared" si="27"/>
        <v>Weekday</v>
      </c>
      <c r="M440">
        <v>1</v>
      </c>
      <c r="N440" t="str" cm="1">
        <f t="array" ref="N440">_xlfn.IFS(M440=1,"Sunny Day",M440=2,"Cloudy Day",M440=3,"Rainy Day",M440=4,"Heavy Rain")</f>
        <v>Sunny Day</v>
      </c>
      <c r="O440">
        <v>0.22</v>
      </c>
      <c r="P440">
        <v>0.21210000000000001</v>
      </c>
      <c r="Q440">
        <v>0.55000000000000004</v>
      </c>
      <c r="R440">
        <v>0.22389999999999999</v>
      </c>
      <c r="S440">
        <v>1</v>
      </c>
      <c r="T440">
        <v>100</v>
      </c>
      <c r="U440">
        <v>101</v>
      </c>
    </row>
    <row r="441" spans="1:21" x14ac:dyDescent="0.3">
      <c r="A441">
        <v>440</v>
      </c>
      <c r="B441" t="s">
        <v>43</v>
      </c>
      <c r="C441" t="str">
        <f t="shared" si="25"/>
        <v>20-Jan-2011</v>
      </c>
      <c r="D441">
        <v>1</v>
      </c>
      <c r="E441">
        <v>0</v>
      </c>
      <c r="F441">
        <v>1</v>
      </c>
      <c r="G441" t="str">
        <f t="shared" si="24"/>
        <v>Jan</v>
      </c>
      <c r="H441">
        <v>8</v>
      </c>
      <c r="I441">
        <f t="shared" si="26"/>
        <v>0</v>
      </c>
      <c r="J441" t="s">
        <v>126</v>
      </c>
      <c r="K441">
        <v>4</v>
      </c>
      <c r="L441" t="str">
        <f t="shared" si="27"/>
        <v>Weekday</v>
      </c>
      <c r="M441">
        <v>1</v>
      </c>
      <c r="N441" t="str" cm="1">
        <f t="array" ref="N441">_xlfn.IFS(M441=1,"Sunny Day",M441=2,"Cloudy Day",M441=3,"Rainy Day",M441=4,"Heavy Rain")</f>
        <v>Sunny Day</v>
      </c>
      <c r="O441">
        <v>0.22</v>
      </c>
      <c r="P441">
        <v>0.21210000000000001</v>
      </c>
      <c r="Q441">
        <v>0.55000000000000004</v>
      </c>
      <c r="R441">
        <v>0.28360000000000002</v>
      </c>
      <c r="S441">
        <v>2</v>
      </c>
      <c r="T441">
        <v>247</v>
      </c>
      <c r="U441">
        <v>249</v>
      </c>
    </row>
    <row r="442" spans="1:21" x14ac:dyDescent="0.3">
      <c r="A442">
        <v>441</v>
      </c>
      <c r="B442" t="s">
        <v>43</v>
      </c>
      <c r="C442" t="str">
        <f t="shared" si="25"/>
        <v>20-Jan-2011</v>
      </c>
      <c r="D442">
        <v>1</v>
      </c>
      <c r="E442">
        <v>0</v>
      </c>
      <c r="F442">
        <v>1</v>
      </c>
      <c r="G442" t="str">
        <f t="shared" si="24"/>
        <v>Jan</v>
      </c>
      <c r="H442">
        <v>9</v>
      </c>
      <c r="I442">
        <f t="shared" si="26"/>
        <v>0</v>
      </c>
      <c r="J442" t="s">
        <v>126</v>
      </c>
      <c r="K442">
        <v>4</v>
      </c>
      <c r="L442" t="str">
        <f t="shared" si="27"/>
        <v>Weekday</v>
      </c>
      <c r="M442">
        <v>2</v>
      </c>
      <c r="N442" t="str" cm="1">
        <f t="array" ref="N442">_xlfn.IFS(M442=1,"Sunny Day",M442=2,"Cloudy Day",M442=3,"Rainy Day",M442=4,"Heavy Rain")</f>
        <v>Cloudy Day</v>
      </c>
      <c r="O442">
        <v>0.24</v>
      </c>
      <c r="P442">
        <v>0.2273</v>
      </c>
      <c r="Q442">
        <v>0.52</v>
      </c>
      <c r="R442">
        <v>0.22389999999999999</v>
      </c>
      <c r="S442">
        <v>3</v>
      </c>
      <c r="T442">
        <v>140</v>
      </c>
      <c r="U442">
        <v>143</v>
      </c>
    </row>
    <row r="443" spans="1:21" x14ac:dyDescent="0.3">
      <c r="A443">
        <v>442</v>
      </c>
      <c r="B443" t="s">
        <v>43</v>
      </c>
      <c r="C443" t="str">
        <f t="shared" si="25"/>
        <v>20-Jan-2011</v>
      </c>
      <c r="D443">
        <v>1</v>
      </c>
      <c r="E443">
        <v>0</v>
      </c>
      <c r="F443">
        <v>1</v>
      </c>
      <c r="G443" t="str">
        <f t="shared" si="24"/>
        <v>Jan</v>
      </c>
      <c r="H443">
        <v>10</v>
      </c>
      <c r="I443">
        <f t="shared" si="26"/>
        <v>0</v>
      </c>
      <c r="J443" t="s">
        <v>126</v>
      </c>
      <c r="K443">
        <v>4</v>
      </c>
      <c r="L443" t="str">
        <f t="shared" si="27"/>
        <v>Weekday</v>
      </c>
      <c r="M443">
        <v>1</v>
      </c>
      <c r="N443" t="str" cm="1">
        <f t="array" ref="N443">_xlfn.IFS(M443=1,"Sunny Day",M443=2,"Cloudy Day",M443=3,"Rainy Day",M443=4,"Heavy Rain")</f>
        <v>Sunny Day</v>
      </c>
      <c r="O443">
        <v>0.26</v>
      </c>
      <c r="P443">
        <v>0.2273</v>
      </c>
      <c r="Q443">
        <v>0.48</v>
      </c>
      <c r="R443">
        <v>0.29849999999999999</v>
      </c>
      <c r="S443">
        <v>1</v>
      </c>
      <c r="T443">
        <v>56</v>
      </c>
      <c r="U443">
        <v>57</v>
      </c>
    </row>
    <row r="444" spans="1:21" x14ac:dyDescent="0.3">
      <c r="A444">
        <v>443</v>
      </c>
      <c r="B444" t="s">
        <v>43</v>
      </c>
      <c r="C444" t="str">
        <f t="shared" si="25"/>
        <v>20-Jan-2011</v>
      </c>
      <c r="D444">
        <v>1</v>
      </c>
      <c r="E444">
        <v>0</v>
      </c>
      <c r="F444">
        <v>1</v>
      </c>
      <c r="G444" t="str">
        <f t="shared" si="24"/>
        <v>Jan</v>
      </c>
      <c r="H444">
        <v>11</v>
      </c>
      <c r="I444">
        <f t="shared" si="26"/>
        <v>1</v>
      </c>
      <c r="J444" t="s">
        <v>126</v>
      </c>
      <c r="K444">
        <v>4</v>
      </c>
      <c r="L444" t="str">
        <f t="shared" si="27"/>
        <v>Weekday</v>
      </c>
      <c r="M444">
        <v>2</v>
      </c>
      <c r="N444" t="str" cm="1">
        <f t="array" ref="N444">_xlfn.IFS(M444=1,"Sunny Day",M444=2,"Cloudy Day",M444=3,"Rainy Day",M444=4,"Heavy Rain")</f>
        <v>Cloudy Day</v>
      </c>
      <c r="O444">
        <v>0.28000000000000003</v>
      </c>
      <c r="P444">
        <v>0.2727</v>
      </c>
      <c r="Q444">
        <v>0.45</v>
      </c>
      <c r="R444">
        <v>0.16420000000000001</v>
      </c>
      <c r="S444">
        <v>5</v>
      </c>
      <c r="T444">
        <v>63</v>
      </c>
      <c r="U444">
        <v>68</v>
      </c>
    </row>
    <row r="445" spans="1:21" x14ac:dyDescent="0.3">
      <c r="A445">
        <v>444</v>
      </c>
      <c r="B445" t="s">
        <v>43</v>
      </c>
      <c r="C445" t="str">
        <f t="shared" si="25"/>
        <v>20-Jan-2011</v>
      </c>
      <c r="D445">
        <v>1</v>
      </c>
      <c r="E445">
        <v>0</v>
      </c>
      <c r="F445">
        <v>1</v>
      </c>
      <c r="G445" t="str">
        <f t="shared" si="24"/>
        <v>Jan</v>
      </c>
      <c r="H445">
        <v>12</v>
      </c>
      <c r="I445">
        <f t="shared" si="26"/>
        <v>1</v>
      </c>
      <c r="J445" t="s">
        <v>126</v>
      </c>
      <c r="K445">
        <v>4</v>
      </c>
      <c r="L445" t="str">
        <f t="shared" si="27"/>
        <v>Weekday</v>
      </c>
      <c r="M445">
        <v>2</v>
      </c>
      <c r="N445" t="str" cm="1">
        <f t="array" ref="N445">_xlfn.IFS(M445=1,"Sunny Day",M445=2,"Cloudy Day",M445=3,"Rainy Day",M445=4,"Heavy Rain")</f>
        <v>Cloudy Day</v>
      </c>
      <c r="O445">
        <v>0.3</v>
      </c>
      <c r="P445">
        <v>0.33329999999999999</v>
      </c>
      <c r="Q445">
        <v>0.42</v>
      </c>
      <c r="R445">
        <v>0</v>
      </c>
      <c r="S445">
        <v>7</v>
      </c>
      <c r="T445">
        <v>77</v>
      </c>
      <c r="U445">
        <v>84</v>
      </c>
    </row>
    <row r="446" spans="1:21" x14ac:dyDescent="0.3">
      <c r="A446">
        <v>445</v>
      </c>
      <c r="B446" t="s">
        <v>43</v>
      </c>
      <c r="C446" t="str">
        <f t="shared" si="25"/>
        <v>20-Jan-2011</v>
      </c>
      <c r="D446">
        <v>1</v>
      </c>
      <c r="E446">
        <v>0</v>
      </c>
      <c r="F446">
        <v>1</v>
      </c>
      <c r="G446" t="str">
        <f t="shared" si="24"/>
        <v>Jan</v>
      </c>
      <c r="H446">
        <v>13</v>
      </c>
      <c r="I446">
        <f t="shared" si="26"/>
        <v>1</v>
      </c>
      <c r="J446" t="s">
        <v>126</v>
      </c>
      <c r="K446">
        <v>4</v>
      </c>
      <c r="L446" t="str">
        <f t="shared" si="27"/>
        <v>Weekday</v>
      </c>
      <c r="M446">
        <v>2</v>
      </c>
      <c r="N446" t="str" cm="1">
        <f t="array" ref="N446">_xlfn.IFS(M446=1,"Sunny Day",M446=2,"Cloudy Day",M446=3,"Rainy Day",M446=4,"Heavy Rain")</f>
        <v>Cloudy Day</v>
      </c>
      <c r="O446">
        <v>0.28000000000000003</v>
      </c>
      <c r="P446">
        <v>0.28789999999999999</v>
      </c>
      <c r="Q446">
        <v>0.45</v>
      </c>
      <c r="R446">
        <v>0.1045</v>
      </c>
      <c r="S446">
        <v>12</v>
      </c>
      <c r="T446">
        <v>86</v>
      </c>
      <c r="U446">
        <v>98</v>
      </c>
    </row>
    <row r="447" spans="1:21" x14ac:dyDescent="0.3">
      <c r="A447">
        <v>446</v>
      </c>
      <c r="B447" t="s">
        <v>43</v>
      </c>
      <c r="C447" t="str">
        <f t="shared" si="25"/>
        <v>20-Jan-2011</v>
      </c>
      <c r="D447">
        <v>1</v>
      </c>
      <c r="E447">
        <v>0</v>
      </c>
      <c r="F447">
        <v>1</v>
      </c>
      <c r="G447" t="str">
        <f t="shared" si="24"/>
        <v>Jan</v>
      </c>
      <c r="H447">
        <v>14</v>
      </c>
      <c r="I447">
        <f t="shared" si="26"/>
        <v>1</v>
      </c>
      <c r="J447" t="s">
        <v>126</v>
      </c>
      <c r="K447">
        <v>4</v>
      </c>
      <c r="L447" t="str">
        <f t="shared" si="27"/>
        <v>Weekday</v>
      </c>
      <c r="M447">
        <v>2</v>
      </c>
      <c r="N447" t="str" cm="1">
        <f t="array" ref="N447">_xlfn.IFS(M447=1,"Sunny Day",M447=2,"Cloudy Day",M447=3,"Rainy Day",M447=4,"Heavy Rain")</f>
        <v>Cloudy Day</v>
      </c>
      <c r="O447">
        <v>0.3</v>
      </c>
      <c r="P447">
        <v>0.30299999999999999</v>
      </c>
      <c r="Q447">
        <v>0.45</v>
      </c>
      <c r="R447">
        <v>0.1343</v>
      </c>
      <c r="S447">
        <v>6</v>
      </c>
      <c r="T447">
        <v>75</v>
      </c>
      <c r="U447">
        <v>81</v>
      </c>
    </row>
    <row r="448" spans="1:21" x14ac:dyDescent="0.3">
      <c r="A448">
        <v>447</v>
      </c>
      <c r="B448" t="s">
        <v>43</v>
      </c>
      <c r="C448" t="str">
        <f t="shared" si="25"/>
        <v>20-Jan-2011</v>
      </c>
      <c r="D448">
        <v>1</v>
      </c>
      <c r="E448">
        <v>0</v>
      </c>
      <c r="F448">
        <v>1</v>
      </c>
      <c r="G448" t="str">
        <f t="shared" si="24"/>
        <v>Jan</v>
      </c>
      <c r="H448">
        <v>15</v>
      </c>
      <c r="I448">
        <f t="shared" si="26"/>
        <v>1</v>
      </c>
      <c r="J448" t="s">
        <v>126</v>
      </c>
      <c r="K448">
        <v>4</v>
      </c>
      <c r="L448" t="str">
        <f t="shared" si="27"/>
        <v>Weekday</v>
      </c>
      <c r="M448">
        <v>2</v>
      </c>
      <c r="N448" t="str" cm="1">
        <f t="array" ref="N448">_xlfn.IFS(M448=1,"Sunny Day",M448=2,"Cloudy Day",M448=3,"Rainy Day",M448=4,"Heavy Rain")</f>
        <v>Cloudy Day</v>
      </c>
      <c r="O448">
        <v>0.32</v>
      </c>
      <c r="P448">
        <v>0.31819999999999998</v>
      </c>
      <c r="Q448">
        <v>0.45</v>
      </c>
      <c r="R448">
        <v>0.19400000000000001</v>
      </c>
      <c r="S448">
        <v>8</v>
      </c>
      <c r="T448">
        <v>62</v>
      </c>
      <c r="U448">
        <v>70</v>
      </c>
    </row>
    <row r="449" spans="1:21" x14ac:dyDescent="0.3">
      <c r="A449">
        <v>448</v>
      </c>
      <c r="B449" t="s">
        <v>43</v>
      </c>
      <c r="C449" t="str">
        <f t="shared" si="25"/>
        <v>20-Jan-2011</v>
      </c>
      <c r="D449">
        <v>1</v>
      </c>
      <c r="E449">
        <v>0</v>
      </c>
      <c r="F449">
        <v>1</v>
      </c>
      <c r="G449" t="str">
        <f t="shared" si="24"/>
        <v>Jan</v>
      </c>
      <c r="H449">
        <v>16</v>
      </c>
      <c r="I449">
        <f t="shared" si="26"/>
        <v>1</v>
      </c>
      <c r="J449" t="s">
        <v>126</v>
      </c>
      <c r="K449">
        <v>4</v>
      </c>
      <c r="L449" t="str">
        <f t="shared" si="27"/>
        <v>Weekday</v>
      </c>
      <c r="M449">
        <v>2</v>
      </c>
      <c r="N449" t="str" cm="1">
        <f t="array" ref="N449">_xlfn.IFS(M449=1,"Sunny Day",M449=2,"Cloudy Day",M449=3,"Rainy Day",M449=4,"Heavy Rain")</f>
        <v>Cloudy Day</v>
      </c>
      <c r="O449">
        <v>0.3</v>
      </c>
      <c r="P449">
        <v>0.30299999999999999</v>
      </c>
      <c r="Q449">
        <v>0.49</v>
      </c>
      <c r="R449">
        <v>0.1343</v>
      </c>
      <c r="S449">
        <v>8</v>
      </c>
      <c r="T449">
        <v>83</v>
      </c>
      <c r="U449">
        <v>91</v>
      </c>
    </row>
    <row r="450" spans="1:21" x14ac:dyDescent="0.3">
      <c r="A450">
        <v>449</v>
      </c>
      <c r="B450" t="s">
        <v>43</v>
      </c>
      <c r="C450" t="str">
        <f t="shared" si="25"/>
        <v>20-Jan-2011</v>
      </c>
      <c r="D450">
        <v>1</v>
      </c>
      <c r="E450">
        <v>0</v>
      </c>
      <c r="F450">
        <v>1</v>
      </c>
      <c r="G450" t="str">
        <f t="shared" ref="G450:G513" si="28">TEXT(C450,"mmm")</f>
        <v>Jan</v>
      </c>
      <c r="H450">
        <v>17</v>
      </c>
      <c r="I450">
        <f t="shared" si="26"/>
        <v>1</v>
      </c>
      <c r="J450" t="s">
        <v>126</v>
      </c>
      <c r="K450">
        <v>4</v>
      </c>
      <c r="L450" t="str">
        <f t="shared" si="27"/>
        <v>Weekday</v>
      </c>
      <c r="M450">
        <v>2</v>
      </c>
      <c r="N450" t="str" cm="1">
        <f t="array" ref="N450">_xlfn.IFS(M450=1,"Sunny Day",M450=2,"Cloudy Day",M450=3,"Rainy Day",M450=4,"Heavy Rain")</f>
        <v>Cloudy Day</v>
      </c>
      <c r="O450">
        <v>0.3</v>
      </c>
      <c r="P450">
        <v>0.31819999999999998</v>
      </c>
      <c r="Q450">
        <v>0.49</v>
      </c>
      <c r="R450">
        <v>0.1045</v>
      </c>
      <c r="S450">
        <v>8</v>
      </c>
      <c r="T450">
        <v>207</v>
      </c>
      <c r="U450">
        <v>215</v>
      </c>
    </row>
    <row r="451" spans="1:21" x14ac:dyDescent="0.3">
      <c r="A451">
        <v>450</v>
      </c>
      <c r="B451" t="s">
        <v>43</v>
      </c>
      <c r="C451" t="str">
        <f t="shared" ref="C451:C514" si="29">TEXT(DATEVALUE(B451),"dd-mmm-yyyy")</f>
        <v>20-Jan-2011</v>
      </c>
      <c r="D451">
        <v>1</v>
      </c>
      <c r="E451">
        <v>0</v>
      </c>
      <c r="F451">
        <v>1</v>
      </c>
      <c r="G451" t="str">
        <f t="shared" si="28"/>
        <v>Jan</v>
      </c>
      <c r="H451">
        <v>18</v>
      </c>
      <c r="I451">
        <f t="shared" ref="I451:I514" si="30">IF(AND(H451&gt;=0,H451&lt;=10),0,1)</f>
        <v>1</v>
      </c>
      <c r="J451" t="s">
        <v>126</v>
      </c>
      <c r="K451">
        <v>4</v>
      </c>
      <c r="L451" t="str">
        <f t="shared" ref="L451:L514" si="31">IF(AND(K451&gt;=1,K451&lt;=5),"Weekday","Weekend")</f>
        <v>Weekday</v>
      </c>
      <c r="M451">
        <v>2</v>
      </c>
      <c r="N451" t="str" cm="1">
        <f t="array" ref="N451">_xlfn.IFS(M451=1,"Sunny Day",M451=2,"Cloudy Day",M451=3,"Rainy Day",M451=4,"Heavy Rain")</f>
        <v>Cloudy Day</v>
      </c>
      <c r="O451">
        <v>0.26</v>
      </c>
      <c r="P451">
        <v>0.2576</v>
      </c>
      <c r="Q451">
        <v>0.56000000000000005</v>
      </c>
      <c r="R451">
        <v>0.19400000000000001</v>
      </c>
      <c r="S451">
        <v>1</v>
      </c>
      <c r="T451">
        <v>184</v>
      </c>
      <c r="U451">
        <v>185</v>
      </c>
    </row>
    <row r="452" spans="1:21" x14ac:dyDescent="0.3">
      <c r="A452">
        <v>451</v>
      </c>
      <c r="B452" t="s">
        <v>43</v>
      </c>
      <c r="C452" t="str">
        <f t="shared" si="29"/>
        <v>20-Jan-2011</v>
      </c>
      <c r="D452">
        <v>1</v>
      </c>
      <c r="E452">
        <v>0</v>
      </c>
      <c r="F452">
        <v>1</v>
      </c>
      <c r="G452" t="str">
        <f t="shared" si="28"/>
        <v>Jan</v>
      </c>
      <c r="H452">
        <v>19</v>
      </c>
      <c r="I452">
        <f t="shared" si="30"/>
        <v>1</v>
      </c>
      <c r="J452" t="s">
        <v>126</v>
      </c>
      <c r="K452">
        <v>4</v>
      </c>
      <c r="L452" t="str">
        <f t="shared" si="31"/>
        <v>Weekday</v>
      </c>
      <c r="M452">
        <v>1</v>
      </c>
      <c r="N452" t="str" cm="1">
        <f t="array" ref="N452">_xlfn.IFS(M452=1,"Sunny Day",M452=2,"Cloudy Day",M452=3,"Rainy Day",M452=4,"Heavy Rain")</f>
        <v>Sunny Day</v>
      </c>
      <c r="O452">
        <v>0.26</v>
      </c>
      <c r="P452">
        <v>0.2273</v>
      </c>
      <c r="Q452">
        <v>0.56000000000000005</v>
      </c>
      <c r="R452">
        <v>0.32840000000000003</v>
      </c>
      <c r="S452">
        <v>6</v>
      </c>
      <c r="T452">
        <v>146</v>
      </c>
      <c r="U452">
        <v>152</v>
      </c>
    </row>
    <row r="453" spans="1:21" x14ac:dyDescent="0.3">
      <c r="A453">
        <v>452</v>
      </c>
      <c r="B453" t="s">
        <v>43</v>
      </c>
      <c r="C453" t="str">
        <f t="shared" si="29"/>
        <v>20-Jan-2011</v>
      </c>
      <c r="D453">
        <v>1</v>
      </c>
      <c r="E453">
        <v>0</v>
      </c>
      <c r="F453">
        <v>1</v>
      </c>
      <c r="G453" t="str">
        <f t="shared" si="28"/>
        <v>Jan</v>
      </c>
      <c r="H453">
        <v>20</v>
      </c>
      <c r="I453">
        <f t="shared" si="30"/>
        <v>1</v>
      </c>
      <c r="J453" t="s">
        <v>126</v>
      </c>
      <c r="K453">
        <v>4</v>
      </c>
      <c r="L453" t="str">
        <f t="shared" si="31"/>
        <v>Weekday</v>
      </c>
      <c r="M453">
        <v>2</v>
      </c>
      <c r="N453" t="str" cm="1">
        <f t="array" ref="N453">_xlfn.IFS(M453=1,"Sunny Day",M453=2,"Cloudy Day",M453=3,"Rainy Day",M453=4,"Heavy Rain")</f>
        <v>Cloudy Day</v>
      </c>
      <c r="O453">
        <v>0.26</v>
      </c>
      <c r="P453">
        <v>0.2424</v>
      </c>
      <c r="Q453">
        <v>0.6</v>
      </c>
      <c r="R453">
        <v>0.28360000000000002</v>
      </c>
      <c r="S453">
        <v>2</v>
      </c>
      <c r="T453">
        <v>124</v>
      </c>
      <c r="U453">
        <v>126</v>
      </c>
    </row>
    <row r="454" spans="1:21" x14ac:dyDescent="0.3">
      <c r="A454">
        <v>453</v>
      </c>
      <c r="B454" t="s">
        <v>43</v>
      </c>
      <c r="C454" t="str">
        <f t="shared" si="29"/>
        <v>20-Jan-2011</v>
      </c>
      <c r="D454">
        <v>1</v>
      </c>
      <c r="E454">
        <v>0</v>
      </c>
      <c r="F454">
        <v>1</v>
      </c>
      <c r="G454" t="str">
        <f t="shared" si="28"/>
        <v>Jan</v>
      </c>
      <c r="H454">
        <v>21</v>
      </c>
      <c r="I454">
        <f t="shared" si="30"/>
        <v>1</v>
      </c>
      <c r="J454" t="s">
        <v>126</v>
      </c>
      <c r="K454">
        <v>4</v>
      </c>
      <c r="L454" t="str">
        <f t="shared" si="31"/>
        <v>Weekday</v>
      </c>
      <c r="M454">
        <v>2</v>
      </c>
      <c r="N454" t="str" cm="1">
        <f t="array" ref="N454">_xlfn.IFS(M454=1,"Sunny Day",M454=2,"Cloudy Day",M454=3,"Rainy Day",M454=4,"Heavy Rain")</f>
        <v>Cloudy Day</v>
      </c>
      <c r="O454">
        <v>0.24</v>
      </c>
      <c r="P454">
        <v>0.2273</v>
      </c>
      <c r="Q454">
        <v>0.6</v>
      </c>
      <c r="R454">
        <v>0.25369999999999998</v>
      </c>
      <c r="S454">
        <v>3</v>
      </c>
      <c r="T454">
        <v>54</v>
      </c>
      <c r="U454">
        <v>57</v>
      </c>
    </row>
    <row r="455" spans="1:21" x14ac:dyDescent="0.3">
      <c r="A455">
        <v>454</v>
      </c>
      <c r="B455" t="s">
        <v>43</v>
      </c>
      <c r="C455" t="str">
        <f t="shared" si="29"/>
        <v>20-Jan-2011</v>
      </c>
      <c r="D455">
        <v>1</v>
      </c>
      <c r="E455">
        <v>0</v>
      </c>
      <c r="F455">
        <v>1</v>
      </c>
      <c r="G455" t="str">
        <f t="shared" si="28"/>
        <v>Jan</v>
      </c>
      <c r="H455">
        <v>22</v>
      </c>
      <c r="I455">
        <f t="shared" si="30"/>
        <v>1</v>
      </c>
      <c r="J455" t="s">
        <v>126</v>
      </c>
      <c r="K455">
        <v>4</v>
      </c>
      <c r="L455" t="str">
        <f t="shared" si="31"/>
        <v>Weekday</v>
      </c>
      <c r="M455">
        <v>2</v>
      </c>
      <c r="N455" t="str" cm="1">
        <f t="array" ref="N455">_xlfn.IFS(M455=1,"Sunny Day",M455=2,"Cloudy Day",M455=3,"Rainy Day",M455=4,"Heavy Rain")</f>
        <v>Cloudy Day</v>
      </c>
      <c r="O455">
        <v>0.24</v>
      </c>
      <c r="P455">
        <v>0.21210000000000001</v>
      </c>
      <c r="Q455">
        <v>0.65</v>
      </c>
      <c r="R455">
        <v>0.28360000000000002</v>
      </c>
      <c r="S455">
        <v>0</v>
      </c>
      <c r="T455">
        <v>56</v>
      </c>
      <c r="U455">
        <v>56</v>
      </c>
    </row>
    <row r="456" spans="1:21" x14ac:dyDescent="0.3">
      <c r="A456">
        <v>455</v>
      </c>
      <c r="B456" t="s">
        <v>43</v>
      </c>
      <c r="C456" t="str">
        <f t="shared" si="29"/>
        <v>20-Jan-2011</v>
      </c>
      <c r="D456">
        <v>1</v>
      </c>
      <c r="E456">
        <v>0</v>
      </c>
      <c r="F456">
        <v>1</v>
      </c>
      <c r="G456" t="str">
        <f t="shared" si="28"/>
        <v>Jan</v>
      </c>
      <c r="H456">
        <v>23</v>
      </c>
      <c r="I456">
        <f t="shared" si="30"/>
        <v>1</v>
      </c>
      <c r="J456" t="s">
        <v>126</v>
      </c>
      <c r="K456">
        <v>4</v>
      </c>
      <c r="L456" t="str">
        <f t="shared" si="31"/>
        <v>Weekday</v>
      </c>
      <c r="M456">
        <v>2</v>
      </c>
      <c r="N456" t="str" cm="1">
        <f t="array" ref="N456">_xlfn.IFS(M456=1,"Sunny Day",M456=2,"Cloudy Day",M456=3,"Rainy Day",M456=4,"Heavy Rain")</f>
        <v>Cloudy Day</v>
      </c>
      <c r="O456">
        <v>0.24</v>
      </c>
      <c r="P456">
        <v>0.21210000000000001</v>
      </c>
      <c r="Q456">
        <v>0.65</v>
      </c>
      <c r="R456">
        <v>0.32840000000000003</v>
      </c>
      <c r="S456">
        <v>3</v>
      </c>
      <c r="T456">
        <v>28</v>
      </c>
      <c r="U456">
        <v>31</v>
      </c>
    </row>
    <row r="457" spans="1:21" x14ac:dyDescent="0.3">
      <c r="A457">
        <v>456</v>
      </c>
      <c r="B457" t="s">
        <v>45</v>
      </c>
      <c r="C457" t="str">
        <f t="shared" si="29"/>
        <v>21-Jan-2011</v>
      </c>
      <c r="D457">
        <v>1</v>
      </c>
      <c r="E457">
        <v>0</v>
      </c>
      <c r="F457">
        <v>1</v>
      </c>
      <c r="G457" t="str">
        <f t="shared" si="28"/>
        <v>Jan</v>
      </c>
      <c r="H457">
        <v>0</v>
      </c>
      <c r="I457">
        <f t="shared" si="30"/>
        <v>0</v>
      </c>
      <c r="J457" t="s">
        <v>126</v>
      </c>
      <c r="K457">
        <v>5</v>
      </c>
      <c r="L457" t="str">
        <f t="shared" si="31"/>
        <v>Weekday</v>
      </c>
      <c r="M457">
        <v>2</v>
      </c>
      <c r="N457" t="str" cm="1">
        <f t="array" ref="N457">_xlfn.IFS(M457=1,"Sunny Day",M457=2,"Cloudy Day",M457=3,"Rainy Day",M457=4,"Heavy Rain")</f>
        <v>Cloudy Day</v>
      </c>
      <c r="O457">
        <v>0.24</v>
      </c>
      <c r="P457">
        <v>0.2273</v>
      </c>
      <c r="Q457">
        <v>0.7</v>
      </c>
      <c r="R457">
        <v>0.25369999999999998</v>
      </c>
      <c r="S457">
        <v>1</v>
      </c>
      <c r="T457">
        <v>20</v>
      </c>
      <c r="U457">
        <v>21</v>
      </c>
    </row>
    <row r="458" spans="1:21" x14ac:dyDescent="0.3">
      <c r="A458">
        <v>457</v>
      </c>
      <c r="B458" t="s">
        <v>45</v>
      </c>
      <c r="C458" t="str">
        <f t="shared" si="29"/>
        <v>21-Jan-2011</v>
      </c>
      <c r="D458">
        <v>1</v>
      </c>
      <c r="E458">
        <v>0</v>
      </c>
      <c r="F458">
        <v>1</v>
      </c>
      <c r="G458" t="str">
        <f t="shared" si="28"/>
        <v>Jan</v>
      </c>
      <c r="H458">
        <v>1</v>
      </c>
      <c r="I458">
        <f t="shared" si="30"/>
        <v>0</v>
      </c>
      <c r="J458" t="s">
        <v>126</v>
      </c>
      <c r="K458">
        <v>5</v>
      </c>
      <c r="L458" t="str">
        <f t="shared" si="31"/>
        <v>Weekday</v>
      </c>
      <c r="M458">
        <v>2</v>
      </c>
      <c r="N458" t="str" cm="1">
        <f t="array" ref="N458">_xlfn.IFS(M458=1,"Sunny Day",M458=2,"Cloudy Day",M458=3,"Rainy Day",M458=4,"Heavy Rain")</f>
        <v>Cloudy Day</v>
      </c>
      <c r="O458">
        <v>0.24</v>
      </c>
      <c r="P458">
        <v>0.2273</v>
      </c>
      <c r="Q458">
        <v>0.7</v>
      </c>
      <c r="R458">
        <v>0.25369999999999998</v>
      </c>
      <c r="S458">
        <v>0</v>
      </c>
      <c r="T458">
        <v>6</v>
      </c>
      <c r="U458">
        <v>6</v>
      </c>
    </row>
    <row r="459" spans="1:21" x14ac:dyDescent="0.3">
      <c r="A459">
        <v>458</v>
      </c>
      <c r="B459" t="s">
        <v>45</v>
      </c>
      <c r="C459" t="str">
        <f t="shared" si="29"/>
        <v>21-Jan-2011</v>
      </c>
      <c r="D459">
        <v>1</v>
      </c>
      <c r="E459">
        <v>0</v>
      </c>
      <c r="F459">
        <v>1</v>
      </c>
      <c r="G459" t="str">
        <f t="shared" si="28"/>
        <v>Jan</v>
      </c>
      <c r="H459">
        <v>2</v>
      </c>
      <c r="I459">
        <f t="shared" si="30"/>
        <v>0</v>
      </c>
      <c r="J459" t="s">
        <v>126</v>
      </c>
      <c r="K459">
        <v>5</v>
      </c>
      <c r="L459" t="str">
        <f t="shared" si="31"/>
        <v>Weekday</v>
      </c>
      <c r="M459">
        <v>3</v>
      </c>
      <c r="N459" t="str" cm="1">
        <f t="array" ref="N459">_xlfn.IFS(M459=1,"Sunny Day",M459=2,"Cloudy Day",M459=3,"Rainy Day",M459=4,"Heavy Rain")</f>
        <v>Rainy Day</v>
      </c>
      <c r="O459">
        <v>0.24</v>
      </c>
      <c r="P459">
        <v>0.2424</v>
      </c>
      <c r="Q459">
        <v>0.75</v>
      </c>
      <c r="R459">
        <v>0.16420000000000001</v>
      </c>
      <c r="S459">
        <v>0</v>
      </c>
      <c r="T459">
        <v>2</v>
      </c>
      <c r="U459">
        <v>2</v>
      </c>
    </row>
    <row r="460" spans="1:21" x14ac:dyDescent="0.3">
      <c r="A460">
        <v>459</v>
      </c>
      <c r="B460" t="s">
        <v>45</v>
      </c>
      <c r="C460" t="str">
        <f t="shared" si="29"/>
        <v>21-Jan-2011</v>
      </c>
      <c r="D460">
        <v>1</v>
      </c>
      <c r="E460">
        <v>0</v>
      </c>
      <c r="F460">
        <v>1</v>
      </c>
      <c r="G460" t="str">
        <f t="shared" si="28"/>
        <v>Jan</v>
      </c>
      <c r="H460">
        <v>3</v>
      </c>
      <c r="I460">
        <f t="shared" si="30"/>
        <v>0</v>
      </c>
      <c r="J460" t="s">
        <v>126</v>
      </c>
      <c r="K460">
        <v>5</v>
      </c>
      <c r="L460" t="str">
        <f t="shared" si="31"/>
        <v>Weekday</v>
      </c>
      <c r="M460">
        <v>3</v>
      </c>
      <c r="N460" t="str" cm="1">
        <f t="array" ref="N460">_xlfn.IFS(M460=1,"Sunny Day",M460=2,"Cloudy Day",M460=3,"Rainy Day",M460=4,"Heavy Rain")</f>
        <v>Rainy Day</v>
      </c>
      <c r="O460">
        <v>0.22</v>
      </c>
      <c r="P460">
        <v>0.21210000000000001</v>
      </c>
      <c r="Q460">
        <v>0.8</v>
      </c>
      <c r="R460">
        <v>0.29849999999999999</v>
      </c>
      <c r="S460">
        <v>0</v>
      </c>
      <c r="T460">
        <v>1</v>
      </c>
      <c r="U460">
        <v>1</v>
      </c>
    </row>
    <row r="461" spans="1:21" x14ac:dyDescent="0.3">
      <c r="A461">
        <v>460</v>
      </c>
      <c r="B461" t="s">
        <v>45</v>
      </c>
      <c r="C461" t="str">
        <f t="shared" si="29"/>
        <v>21-Jan-2011</v>
      </c>
      <c r="D461">
        <v>1</v>
      </c>
      <c r="E461">
        <v>0</v>
      </c>
      <c r="F461">
        <v>1</v>
      </c>
      <c r="G461" t="str">
        <f t="shared" si="28"/>
        <v>Jan</v>
      </c>
      <c r="H461">
        <v>4</v>
      </c>
      <c r="I461">
        <f t="shared" si="30"/>
        <v>0</v>
      </c>
      <c r="J461" t="s">
        <v>126</v>
      </c>
      <c r="K461">
        <v>5</v>
      </c>
      <c r="L461" t="str">
        <f t="shared" si="31"/>
        <v>Weekday</v>
      </c>
      <c r="M461">
        <v>2</v>
      </c>
      <c r="N461" t="str" cm="1">
        <f t="array" ref="N461">_xlfn.IFS(M461=1,"Sunny Day",M461=2,"Cloudy Day",M461=3,"Rainy Day",M461=4,"Heavy Rain")</f>
        <v>Cloudy Day</v>
      </c>
      <c r="O461">
        <v>0.22</v>
      </c>
      <c r="P461">
        <v>0.2576</v>
      </c>
      <c r="Q461">
        <v>0.87</v>
      </c>
      <c r="R461">
        <v>8.9599999999999999E-2</v>
      </c>
      <c r="S461">
        <v>0</v>
      </c>
      <c r="T461">
        <v>1</v>
      </c>
      <c r="U461">
        <v>1</v>
      </c>
    </row>
    <row r="462" spans="1:21" x14ac:dyDescent="0.3">
      <c r="A462">
        <v>461</v>
      </c>
      <c r="B462" t="s">
        <v>45</v>
      </c>
      <c r="C462" t="str">
        <f t="shared" si="29"/>
        <v>21-Jan-2011</v>
      </c>
      <c r="D462">
        <v>1</v>
      </c>
      <c r="E462">
        <v>0</v>
      </c>
      <c r="F462">
        <v>1</v>
      </c>
      <c r="G462" t="str">
        <f t="shared" si="28"/>
        <v>Jan</v>
      </c>
      <c r="H462">
        <v>5</v>
      </c>
      <c r="I462">
        <f t="shared" si="30"/>
        <v>0</v>
      </c>
      <c r="J462" t="s">
        <v>126</v>
      </c>
      <c r="K462">
        <v>5</v>
      </c>
      <c r="L462" t="str">
        <f t="shared" si="31"/>
        <v>Weekday</v>
      </c>
      <c r="M462">
        <v>1</v>
      </c>
      <c r="N462" t="str" cm="1">
        <f t="array" ref="N462">_xlfn.IFS(M462=1,"Sunny Day",M462=2,"Cloudy Day",M462=3,"Rainy Day",M462=4,"Heavy Rain")</f>
        <v>Sunny Day</v>
      </c>
      <c r="O462">
        <v>0.24</v>
      </c>
      <c r="P462">
        <v>0.19700000000000001</v>
      </c>
      <c r="Q462">
        <v>0.6</v>
      </c>
      <c r="R462">
        <v>0.41789999999999999</v>
      </c>
      <c r="S462">
        <v>1</v>
      </c>
      <c r="T462">
        <v>4</v>
      </c>
      <c r="U462">
        <v>5</v>
      </c>
    </row>
    <row r="463" spans="1:21" x14ac:dyDescent="0.3">
      <c r="A463">
        <v>462</v>
      </c>
      <c r="B463" t="s">
        <v>45</v>
      </c>
      <c r="C463" t="str">
        <f t="shared" si="29"/>
        <v>21-Jan-2011</v>
      </c>
      <c r="D463">
        <v>1</v>
      </c>
      <c r="E463">
        <v>0</v>
      </c>
      <c r="F463">
        <v>1</v>
      </c>
      <c r="G463" t="str">
        <f t="shared" si="28"/>
        <v>Jan</v>
      </c>
      <c r="H463">
        <v>6</v>
      </c>
      <c r="I463">
        <f t="shared" si="30"/>
        <v>0</v>
      </c>
      <c r="J463" t="s">
        <v>126</v>
      </c>
      <c r="K463">
        <v>5</v>
      </c>
      <c r="L463" t="str">
        <f t="shared" si="31"/>
        <v>Weekday</v>
      </c>
      <c r="M463">
        <v>1</v>
      </c>
      <c r="N463" t="str" cm="1">
        <f t="array" ref="N463">_xlfn.IFS(M463=1,"Sunny Day",M463=2,"Cloudy Day",M463=3,"Rainy Day",M463=4,"Heavy Rain")</f>
        <v>Sunny Day</v>
      </c>
      <c r="O463">
        <v>0.22</v>
      </c>
      <c r="P463">
        <v>0.21210000000000001</v>
      </c>
      <c r="Q463">
        <v>0.55000000000000004</v>
      </c>
      <c r="R463">
        <v>0.25369999999999998</v>
      </c>
      <c r="S463">
        <v>0</v>
      </c>
      <c r="T463">
        <v>27</v>
      </c>
      <c r="U463">
        <v>27</v>
      </c>
    </row>
    <row r="464" spans="1:21" x14ac:dyDescent="0.3">
      <c r="A464">
        <v>463</v>
      </c>
      <c r="B464" t="s">
        <v>45</v>
      </c>
      <c r="C464" t="str">
        <f t="shared" si="29"/>
        <v>21-Jan-2011</v>
      </c>
      <c r="D464">
        <v>1</v>
      </c>
      <c r="E464">
        <v>0</v>
      </c>
      <c r="F464">
        <v>1</v>
      </c>
      <c r="G464" t="str">
        <f t="shared" si="28"/>
        <v>Jan</v>
      </c>
      <c r="H464">
        <v>7</v>
      </c>
      <c r="I464">
        <f t="shared" si="30"/>
        <v>0</v>
      </c>
      <c r="J464" t="s">
        <v>126</v>
      </c>
      <c r="K464">
        <v>5</v>
      </c>
      <c r="L464" t="str">
        <f t="shared" si="31"/>
        <v>Weekday</v>
      </c>
      <c r="M464">
        <v>1</v>
      </c>
      <c r="N464" t="str" cm="1">
        <f t="array" ref="N464">_xlfn.IFS(M464=1,"Sunny Day",M464=2,"Cloudy Day",M464=3,"Rainy Day",M464=4,"Heavy Rain")</f>
        <v>Sunny Day</v>
      </c>
      <c r="O464">
        <v>0.2</v>
      </c>
      <c r="P464">
        <v>0.18179999999999999</v>
      </c>
      <c r="Q464">
        <v>0.51</v>
      </c>
      <c r="R464">
        <v>0.28360000000000002</v>
      </c>
      <c r="S464">
        <v>2</v>
      </c>
      <c r="T464">
        <v>66</v>
      </c>
      <c r="U464">
        <v>68</v>
      </c>
    </row>
    <row r="465" spans="1:21" x14ac:dyDescent="0.3">
      <c r="A465">
        <v>464</v>
      </c>
      <c r="B465" t="s">
        <v>45</v>
      </c>
      <c r="C465" t="str">
        <f t="shared" si="29"/>
        <v>21-Jan-2011</v>
      </c>
      <c r="D465">
        <v>1</v>
      </c>
      <c r="E465">
        <v>0</v>
      </c>
      <c r="F465">
        <v>1</v>
      </c>
      <c r="G465" t="str">
        <f t="shared" si="28"/>
        <v>Jan</v>
      </c>
      <c r="H465">
        <v>8</v>
      </c>
      <c r="I465">
        <f t="shared" si="30"/>
        <v>0</v>
      </c>
      <c r="J465" t="s">
        <v>126</v>
      </c>
      <c r="K465">
        <v>5</v>
      </c>
      <c r="L465" t="str">
        <f t="shared" si="31"/>
        <v>Weekday</v>
      </c>
      <c r="M465">
        <v>1</v>
      </c>
      <c r="N465" t="str" cm="1">
        <f t="array" ref="N465">_xlfn.IFS(M465=1,"Sunny Day",M465=2,"Cloudy Day",M465=3,"Rainy Day",M465=4,"Heavy Rain")</f>
        <v>Sunny Day</v>
      </c>
      <c r="O465">
        <v>0.2</v>
      </c>
      <c r="P465">
        <v>0.18179999999999999</v>
      </c>
      <c r="Q465">
        <v>0.47</v>
      </c>
      <c r="R465">
        <v>0.32840000000000003</v>
      </c>
      <c r="S465">
        <v>7</v>
      </c>
      <c r="T465">
        <v>210</v>
      </c>
      <c r="U465">
        <v>217</v>
      </c>
    </row>
    <row r="466" spans="1:21" x14ac:dyDescent="0.3">
      <c r="A466">
        <v>465</v>
      </c>
      <c r="B466" t="s">
        <v>45</v>
      </c>
      <c r="C466" t="str">
        <f t="shared" si="29"/>
        <v>21-Jan-2011</v>
      </c>
      <c r="D466">
        <v>1</v>
      </c>
      <c r="E466">
        <v>0</v>
      </c>
      <c r="F466">
        <v>1</v>
      </c>
      <c r="G466" t="str">
        <f t="shared" si="28"/>
        <v>Jan</v>
      </c>
      <c r="H466">
        <v>9</v>
      </c>
      <c r="I466">
        <f t="shared" si="30"/>
        <v>0</v>
      </c>
      <c r="J466" t="s">
        <v>126</v>
      </c>
      <c r="K466">
        <v>5</v>
      </c>
      <c r="L466" t="str">
        <f t="shared" si="31"/>
        <v>Weekday</v>
      </c>
      <c r="M466">
        <v>1</v>
      </c>
      <c r="N466" t="str" cm="1">
        <f t="array" ref="N466">_xlfn.IFS(M466=1,"Sunny Day",M466=2,"Cloudy Day",M466=3,"Rainy Day",M466=4,"Heavy Rain")</f>
        <v>Sunny Day</v>
      </c>
      <c r="O466">
        <v>0.2</v>
      </c>
      <c r="P466">
        <v>0.18179999999999999</v>
      </c>
      <c r="Q466">
        <v>0.51</v>
      </c>
      <c r="R466">
        <v>0.35820000000000002</v>
      </c>
      <c r="S466">
        <v>7</v>
      </c>
      <c r="T466">
        <v>159</v>
      </c>
      <c r="U466">
        <v>166</v>
      </c>
    </row>
    <row r="467" spans="1:21" x14ac:dyDescent="0.3">
      <c r="A467">
        <v>466</v>
      </c>
      <c r="B467" t="s">
        <v>45</v>
      </c>
      <c r="C467" t="str">
        <f t="shared" si="29"/>
        <v>21-Jan-2011</v>
      </c>
      <c r="D467">
        <v>1</v>
      </c>
      <c r="E467">
        <v>0</v>
      </c>
      <c r="F467">
        <v>1</v>
      </c>
      <c r="G467" t="str">
        <f t="shared" si="28"/>
        <v>Jan</v>
      </c>
      <c r="H467">
        <v>10</v>
      </c>
      <c r="I467">
        <f t="shared" si="30"/>
        <v>0</v>
      </c>
      <c r="J467" t="s">
        <v>126</v>
      </c>
      <c r="K467">
        <v>5</v>
      </c>
      <c r="L467" t="str">
        <f t="shared" si="31"/>
        <v>Weekday</v>
      </c>
      <c r="M467">
        <v>1</v>
      </c>
      <c r="N467" t="str" cm="1">
        <f t="array" ref="N467">_xlfn.IFS(M467=1,"Sunny Day",M467=2,"Cloudy Day",M467=3,"Rainy Day",M467=4,"Heavy Rain")</f>
        <v>Sunny Day</v>
      </c>
      <c r="O467">
        <v>0.2</v>
      </c>
      <c r="P467">
        <v>0.16669999999999999</v>
      </c>
      <c r="Q467">
        <v>0.47</v>
      </c>
      <c r="R467">
        <v>0.4627</v>
      </c>
      <c r="S467">
        <v>6</v>
      </c>
      <c r="T467">
        <v>57</v>
      </c>
      <c r="U467">
        <v>63</v>
      </c>
    </row>
    <row r="468" spans="1:21" x14ac:dyDescent="0.3">
      <c r="A468">
        <v>467</v>
      </c>
      <c r="B468" t="s">
        <v>45</v>
      </c>
      <c r="C468" t="str">
        <f t="shared" si="29"/>
        <v>21-Jan-2011</v>
      </c>
      <c r="D468">
        <v>1</v>
      </c>
      <c r="E468">
        <v>0</v>
      </c>
      <c r="F468">
        <v>1</v>
      </c>
      <c r="G468" t="str">
        <f t="shared" si="28"/>
        <v>Jan</v>
      </c>
      <c r="H468">
        <v>11</v>
      </c>
      <c r="I468">
        <f t="shared" si="30"/>
        <v>1</v>
      </c>
      <c r="J468" t="s">
        <v>126</v>
      </c>
      <c r="K468">
        <v>5</v>
      </c>
      <c r="L468" t="str">
        <f t="shared" si="31"/>
        <v>Weekday</v>
      </c>
      <c r="M468">
        <v>1</v>
      </c>
      <c r="N468" t="str" cm="1">
        <f t="array" ref="N468">_xlfn.IFS(M468=1,"Sunny Day",M468=2,"Cloudy Day",M468=3,"Rainy Day",M468=4,"Heavy Rain")</f>
        <v>Sunny Day</v>
      </c>
      <c r="O468">
        <v>0.22</v>
      </c>
      <c r="P468">
        <v>0.18179999999999999</v>
      </c>
      <c r="Q468">
        <v>0.41</v>
      </c>
      <c r="R468">
        <v>0.4627</v>
      </c>
      <c r="S468">
        <v>6</v>
      </c>
      <c r="T468">
        <v>53</v>
      </c>
      <c r="U468">
        <v>59</v>
      </c>
    </row>
    <row r="469" spans="1:21" x14ac:dyDescent="0.3">
      <c r="A469">
        <v>468</v>
      </c>
      <c r="B469" t="s">
        <v>45</v>
      </c>
      <c r="C469" t="str">
        <f t="shared" si="29"/>
        <v>21-Jan-2011</v>
      </c>
      <c r="D469">
        <v>1</v>
      </c>
      <c r="E469">
        <v>0</v>
      </c>
      <c r="F469">
        <v>1</v>
      </c>
      <c r="G469" t="str">
        <f t="shared" si="28"/>
        <v>Jan</v>
      </c>
      <c r="H469">
        <v>12</v>
      </c>
      <c r="I469">
        <f t="shared" si="30"/>
        <v>1</v>
      </c>
      <c r="J469" t="s">
        <v>126</v>
      </c>
      <c r="K469">
        <v>5</v>
      </c>
      <c r="L469" t="str">
        <f t="shared" si="31"/>
        <v>Weekday</v>
      </c>
      <c r="M469">
        <v>1</v>
      </c>
      <c r="N469" t="str" cm="1">
        <f t="array" ref="N469">_xlfn.IFS(M469=1,"Sunny Day",M469=2,"Cloudy Day",M469=3,"Rainy Day",M469=4,"Heavy Rain")</f>
        <v>Sunny Day</v>
      </c>
      <c r="O469">
        <v>0.22</v>
      </c>
      <c r="P469">
        <v>0.18179999999999999</v>
      </c>
      <c r="Q469">
        <v>0.27</v>
      </c>
      <c r="R469">
        <v>0.58209999999999995</v>
      </c>
      <c r="S469">
        <v>11</v>
      </c>
      <c r="T469">
        <v>67</v>
      </c>
      <c r="U469">
        <v>78</v>
      </c>
    </row>
    <row r="470" spans="1:21" x14ac:dyDescent="0.3">
      <c r="A470">
        <v>469</v>
      </c>
      <c r="B470" t="s">
        <v>45</v>
      </c>
      <c r="C470" t="str">
        <f t="shared" si="29"/>
        <v>21-Jan-2011</v>
      </c>
      <c r="D470">
        <v>1</v>
      </c>
      <c r="E470">
        <v>0</v>
      </c>
      <c r="F470">
        <v>1</v>
      </c>
      <c r="G470" t="str">
        <f t="shared" si="28"/>
        <v>Jan</v>
      </c>
      <c r="H470">
        <v>13</v>
      </c>
      <c r="I470">
        <f t="shared" si="30"/>
        <v>1</v>
      </c>
      <c r="J470" t="s">
        <v>126</v>
      </c>
      <c r="K470">
        <v>5</v>
      </c>
      <c r="L470" t="str">
        <f t="shared" si="31"/>
        <v>Weekday</v>
      </c>
      <c r="M470">
        <v>1</v>
      </c>
      <c r="N470" t="str" cm="1">
        <f t="array" ref="N470">_xlfn.IFS(M470=1,"Sunny Day",M470=2,"Cloudy Day",M470=3,"Rainy Day",M470=4,"Heavy Rain")</f>
        <v>Sunny Day</v>
      </c>
      <c r="O470">
        <v>0.2</v>
      </c>
      <c r="P470">
        <v>0.1515</v>
      </c>
      <c r="Q470">
        <v>0.21</v>
      </c>
      <c r="R470">
        <v>0.58209999999999995</v>
      </c>
      <c r="S470">
        <v>8</v>
      </c>
      <c r="T470">
        <v>65</v>
      </c>
      <c r="U470">
        <v>73</v>
      </c>
    </row>
    <row r="471" spans="1:21" x14ac:dyDescent="0.3">
      <c r="A471">
        <v>470</v>
      </c>
      <c r="B471" t="s">
        <v>45</v>
      </c>
      <c r="C471" t="str">
        <f t="shared" si="29"/>
        <v>21-Jan-2011</v>
      </c>
      <c r="D471">
        <v>1</v>
      </c>
      <c r="E471">
        <v>0</v>
      </c>
      <c r="F471">
        <v>1</v>
      </c>
      <c r="G471" t="str">
        <f t="shared" si="28"/>
        <v>Jan</v>
      </c>
      <c r="H471">
        <v>14</v>
      </c>
      <c r="I471">
        <f t="shared" si="30"/>
        <v>1</v>
      </c>
      <c r="J471" t="s">
        <v>126</v>
      </c>
      <c r="K471">
        <v>5</v>
      </c>
      <c r="L471" t="str">
        <f t="shared" si="31"/>
        <v>Weekday</v>
      </c>
      <c r="M471">
        <v>1</v>
      </c>
      <c r="N471" t="str" cm="1">
        <f t="array" ref="N471">_xlfn.IFS(M471=1,"Sunny Day",M471=2,"Cloudy Day",M471=3,"Rainy Day",M471=4,"Heavy Rain")</f>
        <v>Sunny Day</v>
      </c>
      <c r="O471">
        <v>0.2</v>
      </c>
      <c r="P471">
        <v>0.1515</v>
      </c>
      <c r="Q471">
        <v>0.25</v>
      </c>
      <c r="R471">
        <v>0.52239999999999998</v>
      </c>
      <c r="S471">
        <v>6</v>
      </c>
      <c r="T471">
        <v>56</v>
      </c>
      <c r="U471">
        <v>62</v>
      </c>
    </row>
    <row r="472" spans="1:21" x14ac:dyDescent="0.3">
      <c r="A472">
        <v>471</v>
      </c>
      <c r="B472" t="s">
        <v>45</v>
      </c>
      <c r="C472" t="str">
        <f t="shared" si="29"/>
        <v>21-Jan-2011</v>
      </c>
      <c r="D472">
        <v>1</v>
      </c>
      <c r="E472">
        <v>0</v>
      </c>
      <c r="F472">
        <v>1</v>
      </c>
      <c r="G472" t="str">
        <f t="shared" si="28"/>
        <v>Jan</v>
      </c>
      <c r="H472">
        <v>15</v>
      </c>
      <c r="I472">
        <f t="shared" si="30"/>
        <v>1</v>
      </c>
      <c r="J472" t="s">
        <v>126</v>
      </c>
      <c r="K472">
        <v>5</v>
      </c>
      <c r="L472" t="str">
        <f t="shared" si="31"/>
        <v>Weekday</v>
      </c>
      <c r="M472">
        <v>1</v>
      </c>
      <c r="N472" t="str" cm="1">
        <f t="array" ref="N472">_xlfn.IFS(M472=1,"Sunny Day",M472=2,"Cloudy Day",M472=3,"Rainy Day",M472=4,"Heavy Rain")</f>
        <v>Sunny Day</v>
      </c>
      <c r="O472">
        <v>0.16</v>
      </c>
      <c r="P472">
        <v>0.1212</v>
      </c>
      <c r="Q472">
        <v>0.26</v>
      </c>
      <c r="R472">
        <v>0.44779999999999998</v>
      </c>
      <c r="S472">
        <v>4</v>
      </c>
      <c r="T472">
        <v>61</v>
      </c>
      <c r="U472">
        <v>65</v>
      </c>
    </row>
    <row r="473" spans="1:21" x14ac:dyDescent="0.3">
      <c r="A473">
        <v>472</v>
      </c>
      <c r="B473" t="s">
        <v>45</v>
      </c>
      <c r="C473" t="str">
        <f t="shared" si="29"/>
        <v>21-Jan-2011</v>
      </c>
      <c r="D473">
        <v>1</v>
      </c>
      <c r="E473">
        <v>0</v>
      </c>
      <c r="F473">
        <v>1</v>
      </c>
      <c r="G473" t="str">
        <f t="shared" si="28"/>
        <v>Jan</v>
      </c>
      <c r="H473">
        <v>16</v>
      </c>
      <c r="I473">
        <f t="shared" si="30"/>
        <v>1</v>
      </c>
      <c r="J473" t="s">
        <v>126</v>
      </c>
      <c r="K473">
        <v>5</v>
      </c>
      <c r="L473" t="str">
        <f t="shared" si="31"/>
        <v>Weekday</v>
      </c>
      <c r="M473">
        <v>1</v>
      </c>
      <c r="N473" t="str" cm="1">
        <f t="array" ref="N473">_xlfn.IFS(M473=1,"Sunny Day",M473=2,"Cloudy Day",M473=3,"Rainy Day",M473=4,"Heavy Rain")</f>
        <v>Sunny Day</v>
      </c>
      <c r="O473">
        <v>0.16</v>
      </c>
      <c r="P473">
        <v>0.13639999999999999</v>
      </c>
      <c r="Q473">
        <v>0.26</v>
      </c>
      <c r="R473">
        <v>0.35820000000000002</v>
      </c>
      <c r="S473">
        <v>0</v>
      </c>
      <c r="T473">
        <v>97</v>
      </c>
      <c r="U473">
        <v>97</v>
      </c>
    </row>
    <row r="474" spans="1:21" x14ac:dyDescent="0.3">
      <c r="A474">
        <v>473</v>
      </c>
      <c r="B474" t="s">
        <v>45</v>
      </c>
      <c r="C474" t="str">
        <f t="shared" si="29"/>
        <v>21-Jan-2011</v>
      </c>
      <c r="D474">
        <v>1</v>
      </c>
      <c r="E474">
        <v>0</v>
      </c>
      <c r="F474">
        <v>1</v>
      </c>
      <c r="G474" t="str">
        <f t="shared" si="28"/>
        <v>Jan</v>
      </c>
      <c r="H474">
        <v>17</v>
      </c>
      <c r="I474">
        <f t="shared" si="30"/>
        <v>1</v>
      </c>
      <c r="J474" t="s">
        <v>126</v>
      </c>
      <c r="K474">
        <v>5</v>
      </c>
      <c r="L474" t="str">
        <f t="shared" si="31"/>
        <v>Weekday</v>
      </c>
      <c r="M474">
        <v>1</v>
      </c>
      <c r="N474" t="str" cm="1">
        <f t="array" ref="N474">_xlfn.IFS(M474=1,"Sunny Day",M474=2,"Cloudy Day",M474=3,"Rainy Day",M474=4,"Heavy Rain")</f>
        <v>Sunny Day</v>
      </c>
      <c r="O474">
        <v>0.14000000000000001</v>
      </c>
      <c r="P474">
        <v>0.1212</v>
      </c>
      <c r="Q474">
        <v>0.28000000000000003</v>
      </c>
      <c r="R474">
        <v>0.35820000000000002</v>
      </c>
      <c r="S474">
        <v>10</v>
      </c>
      <c r="T474">
        <v>151</v>
      </c>
      <c r="U474">
        <v>161</v>
      </c>
    </row>
    <row r="475" spans="1:21" x14ac:dyDescent="0.3">
      <c r="A475">
        <v>474</v>
      </c>
      <c r="B475" t="s">
        <v>45</v>
      </c>
      <c r="C475" t="str">
        <f t="shared" si="29"/>
        <v>21-Jan-2011</v>
      </c>
      <c r="D475">
        <v>1</v>
      </c>
      <c r="E475">
        <v>0</v>
      </c>
      <c r="F475">
        <v>1</v>
      </c>
      <c r="G475" t="str">
        <f t="shared" si="28"/>
        <v>Jan</v>
      </c>
      <c r="H475">
        <v>18</v>
      </c>
      <c r="I475">
        <f t="shared" si="30"/>
        <v>1</v>
      </c>
      <c r="J475" t="s">
        <v>126</v>
      </c>
      <c r="K475">
        <v>5</v>
      </c>
      <c r="L475" t="str">
        <f t="shared" si="31"/>
        <v>Weekday</v>
      </c>
      <c r="M475">
        <v>1</v>
      </c>
      <c r="N475" t="str" cm="1">
        <f t="array" ref="N475">_xlfn.IFS(M475=1,"Sunny Day",M475=2,"Cloudy Day",M475=3,"Rainy Day",M475=4,"Heavy Rain")</f>
        <v>Sunny Day</v>
      </c>
      <c r="O475">
        <v>0.12</v>
      </c>
      <c r="P475">
        <v>0.1212</v>
      </c>
      <c r="Q475">
        <v>0.3</v>
      </c>
      <c r="R475">
        <v>0.25369999999999998</v>
      </c>
      <c r="S475">
        <v>1</v>
      </c>
      <c r="T475">
        <v>119</v>
      </c>
      <c r="U475">
        <v>120</v>
      </c>
    </row>
    <row r="476" spans="1:21" x14ac:dyDescent="0.3">
      <c r="A476">
        <v>475</v>
      </c>
      <c r="B476" t="s">
        <v>45</v>
      </c>
      <c r="C476" t="str">
        <f t="shared" si="29"/>
        <v>21-Jan-2011</v>
      </c>
      <c r="D476">
        <v>1</v>
      </c>
      <c r="E476">
        <v>0</v>
      </c>
      <c r="F476">
        <v>1</v>
      </c>
      <c r="G476" t="str">
        <f t="shared" si="28"/>
        <v>Jan</v>
      </c>
      <c r="H476">
        <v>19</v>
      </c>
      <c r="I476">
        <f t="shared" si="30"/>
        <v>1</v>
      </c>
      <c r="J476" t="s">
        <v>126</v>
      </c>
      <c r="K476">
        <v>5</v>
      </c>
      <c r="L476" t="str">
        <f t="shared" si="31"/>
        <v>Weekday</v>
      </c>
      <c r="M476">
        <v>1</v>
      </c>
      <c r="N476" t="str" cm="1">
        <f t="array" ref="N476">_xlfn.IFS(M476=1,"Sunny Day",M476=2,"Cloudy Day",M476=3,"Rainy Day",M476=4,"Heavy Rain")</f>
        <v>Sunny Day</v>
      </c>
      <c r="O476">
        <v>0.12</v>
      </c>
      <c r="P476">
        <v>0.1061</v>
      </c>
      <c r="Q476">
        <v>0.3</v>
      </c>
      <c r="R476">
        <v>0.32840000000000003</v>
      </c>
      <c r="S476">
        <v>3</v>
      </c>
      <c r="T476">
        <v>93</v>
      </c>
      <c r="U476">
        <v>96</v>
      </c>
    </row>
    <row r="477" spans="1:21" x14ac:dyDescent="0.3">
      <c r="A477">
        <v>476</v>
      </c>
      <c r="B477" t="s">
        <v>45</v>
      </c>
      <c r="C477" t="str">
        <f t="shared" si="29"/>
        <v>21-Jan-2011</v>
      </c>
      <c r="D477">
        <v>1</v>
      </c>
      <c r="E477">
        <v>0</v>
      </c>
      <c r="F477">
        <v>1</v>
      </c>
      <c r="G477" t="str">
        <f t="shared" si="28"/>
        <v>Jan</v>
      </c>
      <c r="H477">
        <v>20</v>
      </c>
      <c r="I477">
        <f t="shared" si="30"/>
        <v>1</v>
      </c>
      <c r="J477" t="s">
        <v>126</v>
      </c>
      <c r="K477">
        <v>5</v>
      </c>
      <c r="L477" t="str">
        <f t="shared" si="31"/>
        <v>Weekday</v>
      </c>
      <c r="M477">
        <v>1</v>
      </c>
      <c r="N477" t="str" cm="1">
        <f t="array" ref="N477">_xlfn.IFS(M477=1,"Sunny Day",M477=2,"Cloudy Day",M477=3,"Rainy Day",M477=4,"Heavy Rain")</f>
        <v>Sunny Day</v>
      </c>
      <c r="O477">
        <v>0.1</v>
      </c>
      <c r="P477">
        <v>7.5800000000000006E-2</v>
      </c>
      <c r="Q477">
        <v>0.33</v>
      </c>
      <c r="R477">
        <v>0.41789999999999999</v>
      </c>
      <c r="S477">
        <v>1</v>
      </c>
      <c r="T477">
        <v>52</v>
      </c>
      <c r="U477">
        <v>53</v>
      </c>
    </row>
    <row r="478" spans="1:21" x14ac:dyDescent="0.3">
      <c r="A478">
        <v>477</v>
      </c>
      <c r="B478" t="s">
        <v>45</v>
      </c>
      <c r="C478" t="str">
        <f t="shared" si="29"/>
        <v>21-Jan-2011</v>
      </c>
      <c r="D478">
        <v>1</v>
      </c>
      <c r="E478">
        <v>0</v>
      </c>
      <c r="F478">
        <v>1</v>
      </c>
      <c r="G478" t="str">
        <f t="shared" si="28"/>
        <v>Jan</v>
      </c>
      <c r="H478">
        <v>21</v>
      </c>
      <c r="I478">
        <f t="shared" si="30"/>
        <v>1</v>
      </c>
      <c r="J478" t="s">
        <v>126</v>
      </c>
      <c r="K478">
        <v>5</v>
      </c>
      <c r="L478" t="str">
        <f t="shared" si="31"/>
        <v>Weekday</v>
      </c>
      <c r="M478">
        <v>1</v>
      </c>
      <c r="N478" t="str" cm="1">
        <f t="array" ref="N478">_xlfn.IFS(M478=1,"Sunny Day",M478=2,"Cloudy Day",M478=3,"Rainy Day",M478=4,"Heavy Rain")</f>
        <v>Sunny Day</v>
      </c>
      <c r="O478">
        <v>0.08</v>
      </c>
      <c r="P478">
        <v>7.5800000000000006E-2</v>
      </c>
      <c r="Q478">
        <v>0.38</v>
      </c>
      <c r="R478">
        <v>0.28360000000000002</v>
      </c>
      <c r="S478">
        <v>0</v>
      </c>
      <c r="T478">
        <v>41</v>
      </c>
      <c r="U478">
        <v>41</v>
      </c>
    </row>
    <row r="479" spans="1:21" x14ac:dyDescent="0.3">
      <c r="A479">
        <v>478</v>
      </c>
      <c r="B479" t="s">
        <v>45</v>
      </c>
      <c r="C479" t="str">
        <f t="shared" si="29"/>
        <v>21-Jan-2011</v>
      </c>
      <c r="D479">
        <v>1</v>
      </c>
      <c r="E479">
        <v>0</v>
      </c>
      <c r="F479">
        <v>1</v>
      </c>
      <c r="G479" t="str">
        <f t="shared" si="28"/>
        <v>Jan</v>
      </c>
      <c r="H479">
        <v>22</v>
      </c>
      <c r="I479">
        <f t="shared" si="30"/>
        <v>1</v>
      </c>
      <c r="J479" t="s">
        <v>126</v>
      </c>
      <c r="K479">
        <v>5</v>
      </c>
      <c r="L479" t="str">
        <f t="shared" si="31"/>
        <v>Weekday</v>
      </c>
      <c r="M479">
        <v>1</v>
      </c>
      <c r="N479" t="str" cm="1">
        <f t="array" ref="N479">_xlfn.IFS(M479=1,"Sunny Day",M479=2,"Cloudy Day",M479=3,"Rainy Day",M479=4,"Heavy Rain")</f>
        <v>Sunny Day</v>
      </c>
      <c r="O479">
        <v>0.06</v>
      </c>
      <c r="P479">
        <v>3.0300000000000001E-2</v>
      </c>
      <c r="Q479">
        <v>0.41</v>
      </c>
      <c r="R479">
        <v>0.3881</v>
      </c>
      <c r="S479">
        <v>1</v>
      </c>
      <c r="T479">
        <v>33</v>
      </c>
      <c r="U479">
        <v>34</v>
      </c>
    </row>
    <row r="480" spans="1:21" x14ac:dyDescent="0.3">
      <c r="A480">
        <v>479</v>
      </c>
      <c r="B480" t="s">
        <v>45</v>
      </c>
      <c r="C480" t="str">
        <f t="shared" si="29"/>
        <v>21-Jan-2011</v>
      </c>
      <c r="D480">
        <v>1</v>
      </c>
      <c r="E480">
        <v>0</v>
      </c>
      <c r="F480">
        <v>1</v>
      </c>
      <c r="G480" t="str">
        <f t="shared" si="28"/>
        <v>Jan</v>
      </c>
      <c r="H480">
        <v>23</v>
      </c>
      <c r="I480">
        <f t="shared" si="30"/>
        <v>1</v>
      </c>
      <c r="J480" t="s">
        <v>126</v>
      </c>
      <c r="K480">
        <v>5</v>
      </c>
      <c r="L480" t="str">
        <f t="shared" si="31"/>
        <v>Weekday</v>
      </c>
      <c r="M480">
        <v>1</v>
      </c>
      <c r="N480" t="str" cm="1">
        <f t="array" ref="N480">_xlfn.IFS(M480=1,"Sunny Day",M480=2,"Cloudy Day",M480=3,"Rainy Day",M480=4,"Heavy Rain")</f>
        <v>Sunny Day</v>
      </c>
      <c r="O480">
        <v>0.06</v>
      </c>
      <c r="P480">
        <v>4.5499999999999999E-2</v>
      </c>
      <c r="Q480">
        <v>0.38</v>
      </c>
      <c r="R480">
        <v>0.32840000000000003</v>
      </c>
      <c r="S480">
        <v>0</v>
      </c>
      <c r="T480">
        <v>27</v>
      </c>
      <c r="U480">
        <v>27</v>
      </c>
    </row>
    <row r="481" spans="1:21" x14ac:dyDescent="0.3">
      <c r="A481">
        <v>480</v>
      </c>
      <c r="B481" t="s">
        <v>47</v>
      </c>
      <c r="C481" t="str">
        <f t="shared" si="29"/>
        <v>22-Jan-2011</v>
      </c>
      <c r="D481">
        <v>1</v>
      </c>
      <c r="E481">
        <v>0</v>
      </c>
      <c r="F481">
        <v>1</v>
      </c>
      <c r="G481" t="str">
        <f t="shared" si="28"/>
        <v>Jan</v>
      </c>
      <c r="H481">
        <v>0</v>
      </c>
      <c r="I481">
        <f t="shared" si="30"/>
        <v>0</v>
      </c>
      <c r="J481" t="s">
        <v>125</v>
      </c>
      <c r="K481">
        <v>6</v>
      </c>
      <c r="L481" t="str">
        <f t="shared" si="31"/>
        <v>Weekend</v>
      </c>
      <c r="M481">
        <v>1</v>
      </c>
      <c r="N481" t="str" cm="1">
        <f t="array" ref="N481">_xlfn.IFS(M481=1,"Sunny Day",M481=2,"Cloudy Day",M481=3,"Rainy Day",M481=4,"Heavy Rain")</f>
        <v>Sunny Day</v>
      </c>
      <c r="O481">
        <v>0.04</v>
      </c>
      <c r="P481">
        <v>3.0300000000000001E-2</v>
      </c>
      <c r="Q481">
        <v>0.45</v>
      </c>
      <c r="R481">
        <v>0.25369999999999998</v>
      </c>
      <c r="S481">
        <v>0</v>
      </c>
      <c r="T481">
        <v>13</v>
      </c>
      <c r="U481">
        <v>13</v>
      </c>
    </row>
    <row r="482" spans="1:21" x14ac:dyDescent="0.3">
      <c r="A482">
        <v>481</v>
      </c>
      <c r="B482" t="s">
        <v>47</v>
      </c>
      <c r="C482" t="str">
        <f t="shared" si="29"/>
        <v>22-Jan-2011</v>
      </c>
      <c r="D482">
        <v>1</v>
      </c>
      <c r="E482">
        <v>0</v>
      </c>
      <c r="F482">
        <v>1</v>
      </c>
      <c r="G482" t="str">
        <f t="shared" si="28"/>
        <v>Jan</v>
      </c>
      <c r="H482">
        <v>1</v>
      </c>
      <c r="I482">
        <f t="shared" si="30"/>
        <v>0</v>
      </c>
      <c r="J482" t="s">
        <v>125</v>
      </c>
      <c r="K482">
        <v>6</v>
      </c>
      <c r="L482" t="str">
        <f t="shared" si="31"/>
        <v>Weekend</v>
      </c>
      <c r="M482">
        <v>2</v>
      </c>
      <c r="N482" t="str" cm="1">
        <f t="array" ref="N482">_xlfn.IFS(M482=1,"Sunny Day",M482=2,"Cloudy Day",M482=3,"Rainy Day",M482=4,"Heavy Rain")</f>
        <v>Cloudy Day</v>
      </c>
      <c r="O482">
        <v>0.04</v>
      </c>
      <c r="P482">
        <v>0</v>
      </c>
      <c r="Q482">
        <v>0.41</v>
      </c>
      <c r="R482">
        <v>0.3881</v>
      </c>
      <c r="S482">
        <v>3</v>
      </c>
      <c r="T482">
        <v>9</v>
      </c>
      <c r="U482">
        <v>12</v>
      </c>
    </row>
    <row r="483" spans="1:21" x14ac:dyDescent="0.3">
      <c r="A483">
        <v>482</v>
      </c>
      <c r="B483" t="s">
        <v>47</v>
      </c>
      <c r="C483" t="str">
        <f t="shared" si="29"/>
        <v>22-Jan-2011</v>
      </c>
      <c r="D483">
        <v>1</v>
      </c>
      <c r="E483">
        <v>0</v>
      </c>
      <c r="F483">
        <v>1</v>
      </c>
      <c r="G483" t="str">
        <f t="shared" si="28"/>
        <v>Jan</v>
      </c>
      <c r="H483">
        <v>2</v>
      </c>
      <c r="I483">
        <f t="shared" si="30"/>
        <v>0</v>
      </c>
      <c r="J483" t="s">
        <v>125</v>
      </c>
      <c r="K483">
        <v>6</v>
      </c>
      <c r="L483" t="str">
        <f t="shared" si="31"/>
        <v>Weekend</v>
      </c>
      <c r="M483">
        <v>2</v>
      </c>
      <c r="N483" t="str" cm="1">
        <f t="array" ref="N483">_xlfn.IFS(M483=1,"Sunny Day",M483=2,"Cloudy Day",M483=3,"Rainy Day",M483=4,"Heavy Rain")</f>
        <v>Cloudy Day</v>
      </c>
      <c r="O483">
        <v>0.04</v>
      </c>
      <c r="P483">
        <v>3.0300000000000001E-2</v>
      </c>
      <c r="Q483">
        <v>0.41</v>
      </c>
      <c r="R483">
        <v>0.25369999999999998</v>
      </c>
      <c r="S483">
        <v>0</v>
      </c>
      <c r="T483">
        <v>11</v>
      </c>
      <c r="U483">
        <v>11</v>
      </c>
    </row>
    <row r="484" spans="1:21" x14ac:dyDescent="0.3">
      <c r="A484">
        <v>483</v>
      </c>
      <c r="B484" t="s">
        <v>47</v>
      </c>
      <c r="C484" t="str">
        <f t="shared" si="29"/>
        <v>22-Jan-2011</v>
      </c>
      <c r="D484">
        <v>1</v>
      </c>
      <c r="E484">
        <v>0</v>
      </c>
      <c r="F484">
        <v>1</v>
      </c>
      <c r="G484" t="str">
        <f t="shared" si="28"/>
        <v>Jan</v>
      </c>
      <c r="H484">
        <v>3</v>
      </c>
      <c r="I484">
        <f t="shared" si="30"/>
        <v>0</v>
      </c>
      <c r="J484" t="s">
        <v>125</v>
      </c>
      <c r="K484">
        <v>6</v>
      </c>
      <c r="L484" t="str">
        <f t="shared" si="31"/>
        <v>Weekend</v>
      </c>
      <c r="M484">
        <v>2</v>
      </c>
      <c r="N484" t="str" cm="1">
        <f t="array" ref="N484">_xlfn.IFS(M484=1,"Sunny Day",M484=2,"Cloudy Day",M484=3,"Rainy Day",M484=4,"Heavy Rain")</f>
        <v>Cloudy Day</v>
      </c>
      <c r="O484">
        <v>0.04</v>
      </c>
      <c r="P484">
        <v>3.0300000000000001E-2</v>
      </c>
      <c r="Q484">
        <v>0.41</v>
      </c>
      <c r="R484">
        <v>0.28360000000000002</v>
      </c>
      <c r="S484">
        <v>1</v>
      </c>
      <c r="T484">
        <v>6</v>
      </c>
      <c r="U484">
        <v>7</v>
      </c>
    </row>
    <row r="485" spans="1:21" x14ac:dyDescent="0.3">
      <c r="A485">
        <v>484</v>
      </c>
      <c r="B485" t="s">
        <v>47</v>
      </c>
      <c r="C485" t="str">
        <f t="shared" si="29"/>
        <v>22-Jan-2011</v>
      </c>
      <c r="D485">
        <v>1</v>
      </c>
      <c r="E485">
        <v>0</v>
      </c>
      <c r="F485">
        <v>1</v>
      </c>
      <c r="G485" t="str">
        <f t="shared" si="28"/>
        <v>Jan</v>
      </c>
      <c r="H485">
        <v>4</v>
      </c>
      <c r="I485">
        <f t="shared" si="30"/>
        <v>0</v>
      </c>
      <c r="J485" t="s">
        <v>125</v>
      </c>
      <c r="K485">
        <v>6</v>
      </c>
      <c r="L485" t="str">
        <f t="shared" si="31"/>
        <v>Weekend</v>
      </c>
      <c r="M485">
        <v>2</v>
      </c>
      <c r="N485" t="str" cm="1">
        <f t="array" ref="N485">_xlfn.IFS(M485=1,"Sunny Day",M485=2,"Cloudy Day",M485=3,"Rainy Day",M485=4,"Heavy Rain")</f>
        <v>Cloudy Day</v>
      </c>
      <c r="O485">
        <v>0.02</v>
      </c>
      <c r="P485">
        <v>1.52E-2</v>
      </c>
      <c r="Q485">
        <v>0.48</v>
      </c>
      <c r="R485">
        <v>0.29849999999999999</v>
      </c>
      <c r="S485">
        <v>0</v>
      </c>
      <c r="T485">
        <v>3</v>
      </c>
      <c r="U485">
        <v>3</v>
      </c>
    </row>
    <row r="486" spans="1:21" x14ac:dyDescent="0.3">
      <c r="A486">
        <v>485</v>
      </c>
      <c r="B486" t="s">
        <v>47</v>
      </c>
      <c r="C486" t="str">
        <f t="shared" si="29"/>
        <v>22-Jan-2011</v>
      </c>
      <c r="D486">
        <v>1</v>
      </c>
      <c r="E486">
        <v>0</v>
      </c>
      <c r="F486">
        <v>1</v>
      </c>
      <c r="G486" t="str">
        <f t="shared" si="28"/>
        <v>Jan</v>
      </c>
      <c r="H486">
        <v>6</v>
      </c>
      <c r="I486">
        <f t="shared" si="30"/>
        <v>0</v>
      </c>
      <c r="J486" t="s">
        <v>125</v>
      </c>
      <c r="K486">
        <v>6</v>
      </c>
      <c r="L486" t="str">
        <f t="shared" si="31"/>
        <v>Weekend</v>
      </c>
      <c r="M486">
        <v>2</v>
      </c>
      <c r="N486" t="str" cm="1">
        <f t="array" ref="N486">_xlfn.IFS(M486=1,"Sunny Day",M486=2,"Cloudy Day",M486=3,"Rainy Day",M486=4,"Heavy Rain")</f>
        <v>Cloudy Day</v>
      </c>
      <c r="O486">
        <v>0.02</v>
      </c>
      <c r="P486">
        <v>3.0300000000000001E-2</v>
      </c>
      <c r="Q486">
        <v>0.44</v>
      </c>
      <c r="R486">
        <v>0.22389999999999999</v>
      </c>
      <c r="S486">
        <v>0</v>
      </c>
      <c r="T486">
        <v>2</v>
      </c>
      <c r="U486">
        <v>2</v>
      </c>
    </row>
    <row r="487" spans="1:21" x14ac:dyDescent="0.3">
      <c r="A487">
        <v>486</v>
      </c>
      <c r="B487" t="s">
        <v>47</v>
      </c>
      <c r="C487" t="str">
        <f t="shared" si="29"/>
        <v>22-Jan-2011</v>
      </c>
      <c r="D487">
        <v>1</v>
      </c>
      <c r="E487">
        <v>0</v>
      </c>
      <c r="F487">
        <v>1</v>
      </c>
      <c r="G487" t="str">
        <f t="shared" si="28"/>
        <v>Jan</v>
      </c>
      <c r="H487">
        <v>7</v>
      </c>
      <c r="I487">
        <f t="shared" si="30"/>
        <v>0</v>
      </c>
      <c r="J487" t="s">
        <v>125</v>
      </c>
      <c r="K487">
        <v>6</v>
      </c>
      <c r="L487" t="str">
        <f t="shared" si="31"/>
        <v>Weekend</v>
      </c>
      <c r="M487">
        <v>1</v>
      </c>
      <c r="N487" t="str" cm="1">
        <f t="array" ref="N487">_xlfn.IFS(M487=1,"Sunny Day",M487=2,"Cloudy Day",M487=3,"Rainy Day",M487=4,"Heavy Rain")</f>
        <v>Sunny Day</v>
      </c>
      <c r="O487">
        <v>0.02</v>
      </c>
      <c r="P487">
        <v>1.52E-2</v>
      </c>
      <c r="Q487">
        <v>0.44</v>
      </c>
      <c r="R487">
        <v>0.28360000000000002</v>
      </c>
      <c r="S487">
        <v>0</v>
      </c>
      <c r="T487">
        <v>8</v>
      </c>
      <c r="U487">
        <v>8</v>
      </c>
    </row>
    <row r="488" spans="1:21" x14ac:dyDescent="0.3">
      <c r="A488">
        <v>487</v>
      </c>
      <c r="B488" t="s">
        <v>47</v>
      </c>
      <c r="C488" t="str">
        <f t="shared" si="29"/>
        <v>22-Jan-2011</v>
      </c>
      <c r="D488">
        <v>1</v>
      </c>
      <c r="E488">
        <v>0</v>
      </c>
      <c r="F488">
        <v>1</v>
      </c>
      <c r="G488" t="str">
        <f t="shared" si="28"/>
        <v>Jan</v>
      </c>
      <c r="H488">
        <v>8</v>
      </c>
      <c r="I488">
        <f t="shared" si="30"/>
        <v>0</v>
      </c>
      <c r="J488" t="s">
        <v>125</v>
      </c>
      <c r="K488">
        <v>6</v>
      </c>
      <c r="L488" t="str">
        <f t="shared" si="31"/>
        <v>Weekend</v>
      </c>
      <c r="M488">
        <v>1</v>
      </c>
      <c r="N488" t="str" cm="1">
        <f t="array" ref="N488">_xlfn.IFS(M488=1,"Sunny Day",M488=2,"Cloudy Day",M488=3,"Rainy Day",M488=4,"Heavy Rain")</f>
        <v>Sunny Day</v>
      </c>
      <c r="O488">
        <v>0.02</v>
      </c>
      <c r="P488">
        <v>0</v>
      </c>
      <c r="Q488">
        <v>0.44</v>
      </c>
      <c r="R488">
        <v>0.32840000000000003</v>
      </c>
      <c r="S488">
        <v>1</v>
      </c>
      <c r="T488">
        <v>26</v>
      </c>
      <c r="U488">
        <v>27</v>
      </c>
    </row>
    <row r="489" spans="1:21" x14ac:dyDescent="0.3">
      <c r="A489">
        <v>488</v>
      </c>
      <c r="B489" t="s">
        <v>47</v>
      </c>
      <c r="C489" t="str">
        <f t="shared" si="29"/>
        <v>22-Jan-2011</v>
      </c>
      <c r="D489">
        <v>1</v>
      </c>
      <c r="E489">
        <v>0</v>
      </c>
      <c r="F489">
        <v>1</v>
      </c>
      <c r="G489" t="str">
        <f t="shared" si="28"/>
        <v>Jan</v>
      </c>
      <c r="H489">
        <v>9</v>
      </c>
      <c r="I489">
        <f t="shared" si="30"/>
        <v>0</v>
      </c>
      <c r="J489" t="s">
        <v>125</v>
      </c>
      <c r="K489">
        <v>6</v>
      </c>
      <c r="L489" t="str">
        <f t="shared" si="31"/>
        <v>Weekend</v>
      </c>
      <c r="M489">
        <v>1</v>
      </c>
      <c r="N489" t="str" cm="1">
        <f t="array" ref="N489">_xlfn.IFS(M489=1,"Sunny Day",M489=2,"Cloudy Day",M489=3,"Rainy Day",M489=4,"Heavy Rain")</f>
        <v>Sunny Day</v>
      </c>
      <c r="O489">
        <v>0.04</v>
      </c>
      <c r="P489">
        <v>3.0300000000000001E-2</v>
      </c>
      <c r="Q489">
        <v>0.41</v>
      </c>
      <c r="R489">
        <v>0.25369999999999998</v>
      </c>
      <c r="S489">
        <v>3</v>
      </c>
      <c r="T489">
        <v>37</v>
      </c>
      <c r="U489">
        <v>40</v>
      </c>
    </row>
    <row r="490" spans="1:21" x14ac:dyDescent="0.3">
      <c r="A490">
        <v>489</v>
      </c>
      <c r="B490" t="s">
        <v>47</v>
      </c>
      <c r="C490" t="str">
        <f t="shared" si="29"/>
        <v>22-Jan-2011</v>
      </c>
      <c r="D490">
        <v>1</v>
      </c>
      <c r="E490">
        <v>0</v>
      </c>
      <c r="F490">
        <v>1</v>
      </c>
      <c r="G490" t="str">
        <f t="shared" si="28"/>
        <v>Jan</v>
      </c>
      <c r="H490">
        <v>10</v>
      </c>
      <c r="I490">
        <f t="shared" si="30"/>
        <v>0</v>
      </c>
      <c r="J490" t="s">
        <v>125</v>
      </c>
      <c r="K490">
        <v>6</v>
      </c>
      <c r="L490" t="str">
        <f t="shared" si="31"/>
        <v>Weekend</v>
      </c>
      <c r="M490">
        <v>2</v>
      </c>
      <c r="N490" t="str" cm="1">
        <f t="array" ref="N490">_xlfn.IFS(M490=1,"Sunny Day",M490=2,"Cloudy Day",M490=3,"Rainy Day",M490=4,"Heavy Rain")</f>
        <v>Cloudy Day</v>
      </c>
      <c r="O490">
        <v>0.04</v>
      </c>
      <c r="P490">
        <v>6.0600000000000001E-2</v>
      </c>
      <c r="Q490">
        <v>0.41</v>
      </c>
      <c r="R490">
        <v>0.16420000000000001</v>
      </c>
      <c r="S490">
        <v>3</v>
      </c>
      <c r="T490">
        <v>50</v>
      </c>
      <c r="U490">
        <v>53</v>
      </c>
    </row>
    <row r="491" spans="1:21" x14ac:dyDescent="0.3">
      <c r="A491">
        <v>490</v>
      </c>
      <c r="B491" t="s">
        <v>47</v>
      </c>
      <c r="C491" t="str">
        <f t="shared" si="29"/>
        <v>22-Jan-2011</v>
      </c>
      <c r="D491">
        <v>1</v>
      </c>
      <c r="E491">
        <v>0</v>
      </c>
      <c r="F491">
        <v>1</v>
      </c>
      <c r="G491" t="str">
        <f t="shared" si="28"/>
        <v>Jan</v>
      </c>
      <c r="H491">
        <v>11</v>
      </c>
      <c r="I491">
        <f t="shared" si="30"/>
        <v>1</v>
      </c>
      <c r="J491" t="s">
        <v>125</v>
      </c>
      <c r="K491">
        <v>6</v>
      </c>
      <c r="L491" t="str">
        <f t="shared" si="31"/>
        <v>Weekend</v>
      </c>
      <c r="M491">
        <v>2</v>
      </c>
      <c r="N491" t="str" cm="1">
        <f t="array" ref="N491">_xlfn.IFS(M491=1,"Sunny Day",M491=2,"Cloudy Day",M491=3,"Rainy Day",M491=4,"Heavy Rain")</f>
        <v>Cloudy Day</v>
      </c>
      <c r="O491">
        <v>0.06</v>
      </c>
      <c r="P491">
        <v>7.5800000000000006E-2</v>
      </c>
      <c r="Q491">
        <v>0.38</v>
      </c>
      <c r="R491">
        <v>0.1343</v>
      </c>
      <c r="S491">
        <v>4</v>
      </c>
      <c r="T491">
        <v>59</v>
      </c>
      <c r="U491">
        <v>63</v>
      </c>
    </row>
    <row r="492" spans="1:21" x14ac:dyDescent="0.3">
      <c r="A492">
        <v>491</v>
      </c>
      <c r="B492" t="s">
        <v>47</v>
      </c>
      <c r="C492" t="str">
        <f t="shared" si="29"/>
        <v>22-Jan-2011</v>
      </c>
      <c r="D492">
        <v>1</v>
      </c>
      <c r="E492">
        <v>0</v>
      </c>
      <c r="F492">
        <v>1</v>
      </c>
      <c r="G492" t="str">
        <f t="shared" si="28"/>
        <v>Jan</v>
      </c>
      <c r="H492">
        <v>12</v>
      </c>
      <c r="I492">
        <f t="shared" si="30"/>
        <v>1</v>
      </c>
      <c r="J492" t="s">
        <v>125</v>
      </c>
      <c r="K492">
        <v>6</v>
      </c>
      <c r="L492" t="str">
        <f t="shared" si="31"/>
        <v>Weekend</v>
      </c>
      <c r="M492">
        <v>2</v>
      </c>
      <c r="N492" t="str" cm="1">
        <f t="array" ref="N492">_xlfn.IFS(M492=1,"Sunny Day",M492=2,"Cloudy Day",M492=3,"Rainy Day",M492=4,"Heavy Rain")</f>
        <v>Cloudy Day</v>
      </c>
      <c r="O492">
        <v>0.06</v>
      </c>
      <c r="P492">
        <v>0.1061</v>
      </c>
      <c r="Q492">
        <v>0.38</v>
      </c>
      <c r="R492">
        <v>0.1045</v>
      </c>
      <c r="S492">
        <v>10</v>
      </c>
      <c r="T492">
        <v>60</v>
      </c>
      <c r="U492">
        <v>70</v>
      </c>
    </row>
    <row r="493" spans="1:21" x14ac:dyDescent="0.3">
      <c r="A493">
        <v>492</v>
      </c>
      <c r="B493" t="s">
        <v>47</v>
      </c>
      <c r="C493" t="str">
        <f t="shared" si="29"/>
        <v>22-Jan-2011</v>
      </c>
      <c r="D493">
        <v>1</v>
      </c>
      <c r="E493">
        <v>0</v>
      </c>
      <c r="F493">
        <v>1</v>
      </c>
      <c r="G493" t="str">
        <f t="shared" si="28"/>
        <v>Jan</v>
      </c>
      <c r="H493">
        <v>13</v>
      </c>
      <c r="I493">
        <f t="shared" si="30"/>
        <v>1</v>
      </c>
      <c r="J493" t="s">
        <v>125</v>
      </c>
      <c r="K493">
        <v>6</v>
      </c>
      <c r="L493" t="str">
        <f t="shared" si="31"/>
        <v>Weekend</v>
      </c>
      <c r="M493">
        <v>1</v>
      </c>
      <c r="N493" t="str" cm="1">
        <f t="array" ref="N493">_xlfn.IFS(M493=1,"Sunny Day",M493=2,"Cloudy Day",M493=3,"Rainy Day",M493=4,"Heavy Rain")</f>
        <v>Sunny Day</v>
      </c>
      <c r="O493">
        <v>0.08</v>
      </c>
      <c r="P493">
        <v>0.16669999999999999</v>
      </c>
      <c r="Q493">
        <v>0.35</v>
      </c>
      <c r="R493">
        <v>0</v>
      </c>
      <c r="S493">
        <v>12</v>
      </c>
      <c r="T493">
        <v>72</v>
      </c>
      <c r="U493">
        <v>84</v>
      </c>
    </row>
    <row r="494" spans="1:21" x14ac:dyDescent="0.3">
      <c r="A494">
        <v>493</v>
      </c>
      <c r="B494" t="s">
        <v>47</v>
      </c>
      <c r="C494" t="str">
        <f t="shared" si="29"/>
        <v>22-Jan-2011</v>
      </c>
      <c r="D494">
        <v>1</v>
      </c>
      <c r="E494">
        <v>0</v>
      </c>
      <c r="F494">
        <v>1</v>
      </c>
      <c r="G494" t="str">
        <f t="shared" si="28"/>
        <v>Jan</v>
      </c>
      <c r="H494">
        <v>14</v>
      </c>
      <c r="I494">
        <f t="shared" si="30"/>
        <v>1</v>
      </c>
      <c r="J494" t="s">
        <v>125</v>
      </c>
      <c r="K494">
        <v>6</v>
      </c>
      <c r="L494" t="str">
        <f t="shared" si="31"/>
        <v>Weekend</v>
      </c>
      <c r="M494">
        <v>1</v>
      </c>
      <c r="N494" t="str" cm="1">
        <f t="array" ref="N494">_xlfn.IFS(M494=1,"Sunny Day",M494=2,"Cloudy Day",M494=3,"Rainy Day",M494=4,"Heavy Rain")</f>
        <v>Sunny Day</v>
      </c>
      <c r="O494">
        <v>0.1</v>
      </c>
      <c r="P494">
        <v>0.13639999999999999</v>
      </c>
      <c r="Q494">
        <v>0.33</v>
      </c>
      <c r="R494">
        <v>0.1045</v>
      </c>
      <c r="S494">
        <v>11</v>
      </c>
      <c r="T494">
        <v>64</v>
      </c>
      <c r="U494">
        <v>75</v>
      </c>
    </row>
    <row r="495" spans="1:21" x14ac:dyDescent="0.3">
      <c r="A495">
        <v>494</v>
      </c>
      <c r="B495" t="s">
        <v>47</v>
      </c>
      <c r="C495" t="str">
        <f t="shared" si="29"/>
        <v>22-Jan-2011</v>
      </c>
      <c r="D495">
        <v>1</v>
      </c>
      <c r="E495">
        <v>0</v>
      </c>
      <c r="F495">
        <v>1</v>
      </c>
      <c r="G495" t="str">
        <f t="shared" si="28"/>
        <v>Jan</v>
      </c>
      <c r="H495">
        <v>15</v>
      </c>
      <c r="I495">
        <f t="shared" si="30"/>
        <v>1</v>
      </c>
      <c r="J495" t="s">
        <v>125</v>
      </c>
      <c r="K495">
        <v>6</v>
      </c>
      <c r="L495" t="str">
        <f t="shared" si="31"/>
        <v>Weekend</v>
      </c>
      <c r="M495">
        <v>1</v>
      </c>
      <c r="N495" t="str" cm="1">
        <f t="array" ref="N495">_xlfn.IFS(M495=1,"Sunny Day",M495=2,"Cloudy Day",M495=3,"Rainy Day",M495=4,"Heavy Rain")</f>
        <v>Sunny Day</v>
      </c>
      <c r="O495">
        <v>0.12</v>
      </c>
      <c r="P495">
        <v>0.1515</v>
      </c>
      <c r="Q495">
        <v>0.28000000000000003</v>
      </c>
      <c r="R495">
        <v>0</v>
      </c>
      <c r="S495">
        <v>10</v>
      </c>
      <c r="T495">
        <v>93</v>
      </c>
      <c r="U495">
        <v>103</v>
      </c>
    </row>
    <row r="496" spans="1:21" x14ac:dyDescent="0.3">
      <c r="A496">
        <v>495</v>
      </c>
      <c r="B496" t="s">
        <v>47</v>
      </c>
      <c r="C496" t="str">
        <f t="shared" si="29"/>
        <v>22-Jan-2011</v>
      </c>
      <c r="D496">
        <v>1</v>
      </c>
      <c r="E496">
        <v>0</v>
      </c>
      <c r="F496">
        <v>1</v>
      </c>
      <c r="G496" t="str">
        <f t="shared" si="28"/>
        <v>Jan</v>
      </c>
      <c r="H496">
        <v>16</v>
      </c>
      <c r="I496">
        <f t="shared" si="30"/>
        <v>1</v>
      </c>
      <c r="J496" t="s">
        <v>125</v>
      </c>
      <c r="K496">
        <v>6</v>
      </c>
      <c r="L496" t="str">
        <f t="shared" si="31"/>
        <v>Weekend</v>
      </c>
      <c r="M496">
        <v>1</v>
      </c>
      <c r="N496" t="str" cm="1">
        <f t="array" ref="N496">_xlfn.IFS(M496=1,"Sunny Day",M496=2,"Cloudy Day",M496=3,"Rainy Day",M496=4,"Heavy Rain")</f>
        <v>Sunny Day</v>
      </c>
      <c r="O496">
        <v>0.12</v>
      </c>
      <c r="P496">
        <v>0.13639999999999999</v>
      </c>
      <c r="Q496">
        <v>0.28000000000000003</v>
      </c>
      <c r="R496">
        <v>0.19400000000000001</v>
      </c>
      <c r="S496">
        <v>11</v>
      </c>
      <c r="T496">
        <v>72</v>
      </c>
      <c r="U496">
        <v>83</v>
      </c>
    </row>
    <row r="497" spans="1:21" x14ac:dyDescent="0.3">
      <c r="A497">
        <v>496</v>
      </c>
      <c r="B497" t="s">
        <v>47</v>
      </c>
      <c r="C497" t="str">
        <f t="shared" si="29"/>
        <v>22-Jan-2011</v>
      </c>
      <c r="D497">
        <v>1</v>
      </c>
      <c r="E497">
        <v>0</v>
      </c>
      <c r="F497">
        <v>1</v>
      </c>
      <c r="G497" t="str">
        <f t="shared" si="28"/>
        <v>Jan</v>
      </c>
      <c r="H497">
        <v>17</v>
      </c>
      <c r="I497">
        <f t="shared" si="30"/>
        <v>1</v>
      </c>
      <c r="J497" t="s">
        <v>125</v>
      </c>
      <c r="K497">
        <v>6</v>
      </c>
      <c r="L497" t="str">
        <f t="shared" si="31"/>
        <v>Weekend</v>
      </c>
      <c r="M497">
        <v>1</v>
      </c>
      <c r="N497" t="str" cm="1">
        <f t="array" ref="N497">_xlfn.IFS(M497=1,"Sunny Day",M497=2,"Cloudy Day",M497=3,"Rainy Day",M497=4,"Heavy Rain")</f>
        <v>Sunny Day</v>
      </c>
      <c r="O497">
        <v>0.12</v>
      </c>
      <c r="P497">
        <v>0.19700000000000001</v>
      </c>
      <c r="Q497">
        <v>0.28000000000000003</v>
      </c>
      <c r="R497">
        <v>0</v>
      </c>
      <c r="S497">
        <v>8</v>
      </c>
      <c r="T497">
        <v>59</v>
      </c>
      <c r="U497">
        <v>67</v>
      </c>
    </row>
    <row r="498" spans="1:21" x14ac:dyDescent="0.3">
      <c r="A498">
        <v>497</v>
      </c>
      <c r="B498" t="s">
        <v>47</v>
      </c>
      <c r="C498" t="str">
        <f t="shared" si="29"/>
        <v>22-Jan-2011</v>
      </c>
      <c r="D498">
        <v>1</v>
      </c>
      <c r="E498">
        <v>0</v>
      </c>
      <c r="F498">
        <v>1</v>
      </c>
      <c r="G498" t="str">
        <f t="shared" si="28"/>
        <v>Jan</v>
      </c>
      <c r="H498">
        <v>18</v>
      </c>
      <c r="I498">
        <f t="shared" si="30"/>
        <v>1</v>
      </c>
      <c r="J498" t="s">
        <v>125</v>
      </c>
      <c r="K498">
        <v>6</v>
      </c>
      <c r="L498" t="str">
        <f t="shared" si="31"/>
        <v>Weekend</v>
      </c>
      <c r="M498">
        <v>1</v>
      </c>
      <c r="N498" t="str" cm="1">
        <f t="array" ref="N498">_xlfn.IFS(M498=1,"Sunny Day",M498=2,"Cloudy Day",M498=3,"Rainy Day",M498=4,"Heavy Rain")</f>
        <v>Sunny Day</v>
      </c>
      <c r="O498">
        <v>0.08</v>
      </c>
      <c r="P498">
        <v>9.0899999999999995E-2</v>
      </c>
      <c r="Q498">
        <v>0.35</v>
      </c>
      <c r="R498">
        <v>0.19400000000000001</v>
      </c>
      <c r="S498">
        <v>0</v>
      </c>
      <c r="T498">
        <v>54</v>
      </c>
      <c r="U498">
        <v>54</v>
      </c>
    </row>
    <row r="499" spans="1:21" x14ac:dyDescent="0.3">
      <c r="A499">
        <v>498</v>
      </c>
      <c r="B499" t="s">
        <v>47</v>
      </c>
      <c r="C499" t="str">
        <f t="shared" si="29"/>
        <v>22-Jan-2011</v>
      </c>
      <c r="D499">
        <v>1</v>
      </c>
      <c r="E499">
        <v>0</v>
      </c>
      <c r="F499">
        <v>1</v>
      </c>
      <c r="G499" t="str">
        <f t="shared" si="28"/>
        <v>Jan</v>
      </c>
      <c r="H499">
        <v>19</v>
      </c>
      <c r="I499">
        <f t="shared" si="30"/>
        <v>1</v>
      </c>
      <c r="J499" t="s">
        <v>125</v>
      </c>
      <c r="K499">
        <v>6</v>
      </c>
      <c r="L499" t="str">
        <f t="shared" si="31"/>
        <v>Weekend</v>
      </c>
      <c r="M499">
        <v>1</v>
      </c>
      <c r="N499" t="str" cm="1">
        <f t="array" ref="N499">_xlfn.IFS(M499=1,"Sunny Day",M499=2,"Cloudy Day",M499=3,"Rainy Day",M499=4,"Heavy Rain")</f>
        <v>Sunny Day</v>
      </c>
      <c r="O499">
        <v>0.08</v>
      </c>
      <c r="P499">
        <v>0.1061</v>
      </c>
      <c r="Q499">
        <v>0.35</v>
      </c>
      <c r="R499">
        <v>0.1343</v>
      </c>
      <c r="S499">
        <v>6</v>
      </c>
      <c r="T499">
        <v>53</v>
      </c>
      <c r="U499">
        <v>59</v>
      </c>
    </row>
    <row r="500" spans="1:21" x14ac:dyDescent="0.3">
      <c r="A500">
        <v>499</v>
      </c>
      <c r="B500" t="s">
        <v>47</v>
      </c>
      <c r="C500" t="str">
        <f t="shared" si="29"/>
        <v>22-Jan-2011</v>
      </c>
      <c r="D500">
        <v>1</v>
      </c>
      <c r="E500">
        <v>0</v>
      </c>
      <c r="F500">
        <v>1</v>
      </c>
      <c r="G500" t="str">
        <f t="shared" si="28"/>
        <v>Jan</v>
      </c>
      <c r="H500">
        <v>20</v>
      </c>
      <c r="I500">
        <f t="shared" si="30"/>
        <v>1</v>
      </c>
      <c r="J500" t="s">
        <v>125</v>
      </c>
      <c r="K500">
        <v>6</v>
      </c>
      <c r="L500" t="str">
        <f t="shared" si="31"/>
        <v>Weekend</v>
      </c>
      <c r="M500">
        <v>1</v>
      </c>
      <c r="N500" t="str" cm="1">
        <f t="array" ref="N500">_xlfn.IFS(M500=1,"Sunny Day",M500=2,"Cloudy Day",M500=3,"Rainy Day",M500=4,"Heavy Rain")</f>
        <v>Sunny Day</v>
      </c>
      <c r="O500">
        <v>0.06</v>
      </c>
      <c r="P500">
        <v>7.5800000000000006E-2</v>
      </c>
      <c r="Q500">
        <v>0.45</v>
      </c>
      <c r="R500">
        <v>0.16420000000000001</v>
      </c>
      <c r="S500">
        <v>1</v>
      </c>
      <c r="T500">
        <v>44</v>
      </c>
      <c r="U500">
        <v>45</v>
      </c>
    </row>
    <row r="501" spans="1:21" x14ac:dyDescent="0.3">
      <c r="A501">
        <v>500</v>
      </c>
      <c r="B501" t="s">
        <v>47</v>
      </c>
      <c r="C501" t="str">
        <f t="shared" si="29"/>
        <v>22-Jan-2011</v>
      </c>
      <c r="D501">
        <v>1</v>
      </c>
      <c r="E501">
        <v>0</v>
      </c>
      <c r="F501">
        <v>1</v>
      </c>
      <c r="G501" t="str">
        <f t="shared" si="28"/>
        <v>Jan</v>
      </c>
      <c r="H501">
        <v>21</v>
      </c>
      <c r="I501">
        <f t="shared" si="30"/>
        <v>1</v>
      </c>
      <c r="J501" t="s">
        <v>125</v>
      </c>
      <c r="K501">
        <v>6</v>
      </c>
      <c r="L501" t="str">
        <f t="shared" si="31"/>
        <v>Weekend</v>
      </c>
      <c r="M501">
        <v>1</v>
      </c>
      <c r="N501" t="str" cm="1">
        <f t="array" ref="N501">_xlfn.IFS(M501=1,"Sunny Day",M501=2,"Cloudy Day",M501=3,"Rainy Day",M501=4,"Heavy Rain")</f>
        <v>Sunny Day</v>
      </c>
      <c r="O501">
        <v>0.06</v>
      </c>
      <c r="P501">
        <v>0.1061</v>
      </c>
      <c r="Q501">
        <v>0.41</v>
      </c>
      <c r="R501">
        <v>8.9599999999999999E-2</v>
      </c>
      <c r="S501">
        <v>0</v>
      </c>
      <c r="T501">
        <v>39</v>
      </c>
      <c r="U501">
        <v>39</v>
      </c>
    </row>
    <row r="502" spans="1:21" x14ac:dyDescent="0.3">
      <c r="A502">
        <v>501</v>
      </c>
      <c r="B502" t="s">
        <v>47</v>
      </c>
      <c r="C502" t="str">
        <f t="shared" si="29"/>
        <v>22-Jan-2011</v>
      </c>
      <c r="D502">
        <v>1</v>
      </c>
      <c r="E502">
        <v>0</v>
      </c>
      <c r="F502">
        <v>1</v>
      </c>
      <c r="G502" t="str">
        <f t="shared" si="28"/>
        <v>Jan</v>
      </c>
      <c r="H502">
        <v>22</v>
      </c>
      <c r="I502">
        <f t="shared" si="30"/>
        <v>1</v>
      </c>
      <c r="J502" t="s">
        <v>125</v>
      </c>
      <c r="K502">
        <v>6</v>
      </c>
      <c r="L502" t="str">
        <f t="shared" si="31"/>
        <v>Weekend</v>
      </c>
      <c r="M502">
        <v>1</v>
      </c>
      <c r="N502" t="str" cm="1">
        <f t="array" ref="N502">_xlfn.IFS(M502=1,"Sunny Day",M502=2,"Cloudy Day",M502=3,"Rainy Day",M502=4,"Heavy Rain")</f>
        <v>Sunny Day</v>
      </c>
      <c r="O502">
        <v>0.06</v>
      </c>
      <c r="P502">
        <v>0.1515</v>
      </c>
      <c r="Q502">
        <v>0.49</v>
      </c>
      <c r="R502">
        <v>0</v>
      </c>
      <c r="S502">
        <v>7</v>
      </c>
      <c r="T502">
        <v>23</v>
      </c>
      <c r="U502">
        <v>30</v>
      </c>
    </row>
    <row r="503" spans="1:21" x14ac:dyDescent="0.3">
      <c r="A503">
        <v>502</v>
      </c>
      <c r="B503" t="s">
        <v>47</v>
      </c>
      <c r="C503" t="str">
        <f t="shared" si="29"/>
        <v>22-Jan-2011</v>
      </c>
      <c r="D503">
        <v>1</v>
      </c>
      <c r="E503">
        <v>0</v>
      </c>
      <c r="F503">
        <v>1</v>
      </c>
      <c r="G503" t="str">
        <f t="shared" si="28"/>
        <v>Jan</v>
      </c>
      <c r="H503">
        <v>23</v>
      </c>
      <c r="I503">
        <f t="shared" si="30"/>
        <v>1</v>
      </c>
      <c r="J503" t="s">
        <v>125</v>
      </c>
      <c r="K503">
        <v>6</v>
      </c>
      <c r="L503" t="str">
        <f t="shared" si="31"/>
        <v>Weekend</v>
      </c>
      <c r="M503">
        <v>1</v>
      </c>
      <c r="N503" t="str" cm="1">
        <f t="array" ref="N503">_xlfn.IFS(M503=1,"Sunny Day",M503=2,"Cloudy Day",M503=3,"Rainy Day",M503=4,"Heavy Rain")</f>
        <v>Sunny Day</v>
      </c>
      <c r="O503">
        <v>0.04</v>
      </c>
      <c r="P503">
        <v>7.5800000000000006E-2</v>
      </c>
      <c r="Q503">
        <v>0.56999999999999995</v>
      </c>
      <c r="R503">
        <v>0.1045</v>
      </c>
      <c r="S503">
        <v>2</v>
      </c>
      <c r="T503">
        <v>31</v>
      </c>
      <c r="U503">
        <v>33</v>
      </c>
    </row>
    <row r="504" spans="1:21" x14ac:dyDescent="0.3">
      <c r="A504">
        <v>503</v>
      </c>
      <c r="B504" t="s">
        <v>49</v>
      </c>
      <c r="C504" t="str">
        <f t="shared" si="29"/>
        <v>23-Jan-2011</v>
      </c>
      <c r="D504">
        <v>1</v>
      </c>
      <c r="E504">
        <v>0</v>
      </c>
      <c r="F504">
        <v>1</v>
      </c>
      <c r="G504" t="str">
        <f t="shared" si="28"/>
        <v>Jan</v>
      </c>
      <c r="H504">
        <v>0</v>
      </c>
      <c r="I504">
        <f t="shared" si="30"/>
        <v>0</v>
      </c>
      <c r="J504" t="s">
        <v>125</v>
      </c>
      <c r="K504">
        <v>0</v>
      </c>
      <c r="L504" t="str">
        <f t="shared" si="31"/>
        <v>Weekend</v>
      </c>
      <c r="M504">
        <v>1</v>
      </c>
      <c r="N504" t="str" cm="1">
        <f t="array" ref="N504">_xlfn.IFS(M504=1,"Sunny Day",M504=2,"Cloudy Day",M504=3,"Rainy Day",M504=4,"Heavy Rain")</f>
        <v>Sunny Day</v>
      </c>
      <c r="O504">
        <v>0.04</v>
      </c>
      <c r="P504">
        <v>7.5800000000000006E-2</v>
      </c>
      <c r="Q504">
        <v>0.56999999999999995</v>
      </c>
      <c r="R504">
        <v>0.1045</v>
      </c>
      <c r="S504">
        <v>2</v>
      </c>
      <c r="T504">
        <v>20</v>
      </c>
      <c r="U504">
        <v>22</v>
      </c>
    </row>
    <row r="505" spans="1:21" x14ac:dyDescent="0.3">
      <c r="A505">
        <v>504</v>
      </c>
      <c r="B505" t="s">
        <v>49</v>
      </c>
      <c r="C505" t="str">
        <f t="shared" si="29"/>
        <v>23-Jan-2011</v>
      </c>
      <c r="D505">
        <v>1</v>
      </c>
      <c r="E505">
        <v>0</v>
      </c>
      <c r="F505">
        <v>1</v>
      </c>
      <c r="G505" t="str">
        <f t="shared" si="28"/>
        <v>Jan</v>
      </c>
      <c r="H505">
        <v>1</v>
      </c>
      <c r="I505">
        <f t="shared" si="30"/>
        <v>0</v>
      </c>
      <c r="J505" t="s">
        <v>125</v>
      </c>
      <c r="K505">
        <v>0</v>
      </c>
      <c r="L505" t="str">
        <f t="shared" si="31"/>
        <v>Weekend</v>
      </c>
      <c r="M505">
        <v>1</v>
      </c>
      <c r="N505" t="str" cm="1">
        <f t="array" ref="N505">_xlfn.IFS(M505=1,"Sunny Day",M505=2,"Cloudy Day",M505=3,"Rainy Day",M505=4,"Heavy Rain")</f>
        <v>Sunny Day</v>
      </c>
      <c r="O505">
        <v>0.04</v>
      </c>
      <c r="P505">
        <v>7.5800000000000006E-2</v>
      </c>
      <c r="Q505">
        <v>0.56999999999999995</v>
      </c>
      <c r="R505">
        <v>0.1045</v>
      </c>
      <c r="S505">
        <v>1</v>
      </c>
      <c r="T505">
        <v>12</v>
      </c>
      <c r="U505">
        <v>13</v>
      </c>
    </row>
    <row r="506" spans="1:21" x14ac:dyDescent="0.3">
      <c r="A506">
        <v>505</v>
      </c>
      <c r="B506" t="s">
        <v>49</v>
      </c>
      <c r="C506" t="str">
        <f t="shared" si="29"/>
        <v>23-Jan-2011</v>
      </c>
      <c r="D506">
        <v>1</v>
      </c>
      <c r="E506">
        <v>0</v>
      </c>
      <c r="F506">
        <v>1</v>
      </c>
      <c r="G506" t="str">
        <f t="shared" si="28"/>
        <v>Jan</v>
      </c>
      <c r="H506">
        <v>2</v>
      </c>
      <c r="I506">
        <f t="shared" si="30"/>
        <v>0</v>
      </c>
      <c r="J506" t="s">
        <v>125</v>
      </c>
      <c r="K506">
        <v>0</v>
      </c>
      <c r="L506" t="str">
        <f t="shared" si="31"/>
        <v>Weekend</v>
      </c>
      <c r="M506">
        <v>1</v>
      </c>
      <c r="N506" t="str" cm="1">
        <f t="array" ref="N506">_xlfn.IFS(M506=1,"Sunny Day",M506=2,"Cloudy Day",M506=3,"Rainy Day",M506=4,"Heavy Rain")</f>
        <v>Sunny Day</v>
      </c>
      <c r="O506">
        <v>0.02</v>
      </c>
      <c r="P506">
        <v>6.0600000000000001E-2</v>
      </c>
      <c r="Q506">
        <v>0.62</v>
      </c>
      <c r="R506">
        <v>0.1343</v>
      </c>
      <c r="S506">
        <v>3</v>
      </c>
      <c r="T506">
        <v>15</v>
      </c>
      <c r="U506">
        <v>18</v>
      </c>
    </row>
    <row r="507" spans="1:21" x14ac:dyDescent="0.3">
      <c r="A507">
        <v>506</v>
      </c>
      <c r="B507" t="s">
        <v>49</v>
      </c>
      <c r="C507" t="str">
        <f t="shared" si="29"/>
        <v>23-Jan-2011</v>
      </c>
      <c r="D507">
        <v>1</v>
      </c>
      <c r="E507">
        <v>0</v>
      </c>
      <c r="F507">
        <v>1</v>
      </c>
      <c r="G507" t="str">
        <f t="shared" si="28"/>
        <v>Jan</v>
      </c>
      <c r="H507">
        <v>3</v>
      </c>
      <c r="I507">
        <f t="shared" si="30"/>
        <v>0</v>
      </c>
      <c r="J507" t="s">
        <v>125</v>
      </c>
      <c r="K507">
        <v>0</v>
      </c>
      <c r="L507" t="str">
        <f t="shared" si="31"/>
        <v>Weekend</v>
      </c>
      <c r="M507">
        <v>1</v>
      </c>
      <c r="N507" t="str" cm="1">
        <f t="array" ref="N507">_xlfn.IFS(M507=1,"Sunny Day",M507=2,"Cloudy Day",M507=3,"Rainy Day",M507=4,"Heavy Rain")</f>
        <v>Sunny Day</v>
      </c>
      <c r="O507">
        <v>0.02</v>
      </c>
      <c r="P507">
        <v>6.0600000000000001E-2</v>
      </c>
      <c r="Q507">
        <v>0.62</v>
      </c>
      <c r="R507">
        <v>0.1343</v>
      </c>
      <c r="S507">
        <v>1</v>
      </c>
      <c r="T507">
        <v>4</v>
      </c>
      <c r="U507">
        <v>5</v>
      </c>
    </row>
    <row r="508" spans="1:21" x14ac:dyDescent="0.3">
      <c r="A508">
        <v>507</v>
      </c>
      <c r="B508" t="s">
        <v>49</v>
      </c>
      <c r="C508" t="str">
        <f t="shared" si="29"/>
        <v>23-Jan-2011</v>
      </c>
      <c r="D508">
        <v>1</v>
      </c>
      <c r="E508">
        <v>0</v>
      </c>
      <c r="F508">
        <v>1</v>
      </c>
      <c r="G508" t="str">
        <f t="shared" si="28"/>
        <v>Jan</v>
      </c>
      <c r="H508">
        <v>5</v>
      </c>
      <c r="I508">
        <f t="shared" si="30"/>
        <v>0</v>
      </c>
      <c r="J508" t="s">
        <v>125</v>
      </c>
      <c r="K508">
        <v>0</v>
      </c>
      <c r="L508" t="str">
        <f t="shared" si="31"/>
        <v>Weekend</v>
      </c>
      <c r="M508">
        <v>2</v>
      </c>
      <c r="N508" t="str" cm="1">
        <f t="array" ref="N508">_xlfn.IFS(M508=1,"Sunny Day",M508=2,"Cloudy Day",M508=3,"Rainy Day",M508=4,"Heavy Rain")</f>
        <v>Cloudy Day</v>
      </c>
      <c r="O508">
        <v>0.04</v>
      </c>
      <c r="P508">
        <v>7.5800000000000006E-2</v>
      </c>
      <c r="Q508">
        <v>0.56999999999999995</v>
      </c>
      <c r="R508">
        <v>0.1045</v>
      </c>
      <c r="S508">
        <v>0</v>
      </c>
      <c r="T508">
        <v>3</v>
      </c>
      <c r="U508">
        <v>3</v>
      </c>
    </row>
    <row r="509" spans="1:21" x14ac:dyDescent="0.3">
      <c r="A509">
        <v>508</v>
      </c>
      <c r="B509" t="s">
        <v>49</v>
      </c>
      <c r="C509" t="str">
        <f t="shared" si="29"/>
        <v>23-Jan-2011</v>
      </c>
      <c r="D509">
        <v>1</v>
      </c>
      <c r="E509">
        <v>0</v>
      </c>
      <c r="F509">
        <v>1</v>
      </c>
      <c r="G509" t="str">
        <f t="shared" si="28"/>
        <v>Jan</v>
      </c>
      <c r="H509">
        <v>6</v>
      </c>
      <c r="I509">
        <f t="shared" si="30"/>
        <v>0</v>
      </c>
      <c r="J509" t="s">
        <v>125</v>
      </c>
      <c r="K509">
        <v>0</v>
      </c>
      <c r="L509" t="str">
        <f t="shared" si="31"/>
        <v>Weekend</v>
      </c>
      <c r="M509">
        <v>2</v>
      </c>
      <c r="N509" t="str" cm="1">
        <f t="array" ref="N509">_xlfn.IFS(M509=1,"Sunny Day",M509=2,"Cloudy Day",M509=3,"Rainy Day",M509=4,"Heavy Rain")</f>
        <v>Cloudy Day</v>
      </c>
      <c r="O509">
        <v>0.04</v>
      </c>
      <c r="P509">
        <v>7.5800000000000006E-2</v>
      </c>
      <c r="Q509">
        <v>0.56999999999999995</v>
      </c>
      <c r="R509">
        <v>0.1045</v>
      </c>
      <c r="S509">
        <v>0</v>
      </c>
      <c r="T509">
        <v>1</v>
      </c>
      <c r="U509">
        <v>1</v>
      </c>
    </row>
    <row r="510" spans="1:21" x14ac:dyDescent="0.3">
      <c r="A510">
        <v>509</v>
      </c>
      <c r="B510" t="s">
        <v>49</v>
      </c>
      <c r="C510" t="str">
        <f t="shared" si="29"/>
        <v>23-Jan-2011</v>
      </c>
      <c r="D510">
        <v>1</v>
      </c>
      <c r="E510">
        <v>0</v>
      </c>
      <c r="F510">
        <v>1</v>
      </c>
      <c r="G510" t="str">
        <f t="shared" si="28"/>
        <v>Jan</v>
      </c>
      <c r="H510">
        <v>7</v>
      </c>
      <c r="I510">
        <f t="shared" si="30"/>
        <v>0</v>
      </c>
      <c r="J510" t="s">
        <v>125</v>
      </c>
      <c r="K510">
        <v>0</v>
      </c>
      <c r="L510" t="str">
        <f t="shared" si="31"/>
        <v>Weekend</v>
      </c>
      <c r="M510">
        <v>1</v>
      </c>
      <c r="N510" t="str" cm="1">
        <f t="array" ref="N510">_xlfn.IFS(M510=1,"Sunny Day",M510=2,"Cloudy Day",M510=3,"Rainy Day",M510=4,"Heavy Rain")</f>
        <v>Sunny Day</v>
      </c>
      <c r="O510">
        <v>0.08</v>
      </c>
      <c r="P510">
        <v>0.1061</v>
      </c>
      <c r="Q510">
        <v>0.57999999999999996</v>
      </c>
      <c r="R510">
        <v>0.16420000000000001</v>
      </c>
      <c r="S510">
        <v>1</v>
      </c>
      <c r="T510">
        <v>1</v>
      </c>
      <c r="U510">
        <v>2</v>
      </c>
    </row>
    <row r="511" spans="1:21" x14ac:dyDescent="0.3">
      <c r="A511">
        <v>510</v>
      </c>
      <c r="B511" t="s">
        <v>49</v>
      </c>
      <c r="C511" t="str">
        <f t="shared" si="29"/>
        <v>23-Jan-2011</v>
      </c>
      <c r="D511">
        <v>1</v>
      </c>
      <c r="E511">
        <v>0</v>
      </c>
      <c r="F511">
        <v>1</v>
      </c>
      <c r="G511" t="str">
        <f t="shared" si="28"/>
        <v>Jan</v>
      </c>
      <c r="H511">
        <v>8</v>
      </c>
      <c r="I511">
        <f t="shared" si="30"/>
        <v>0</v>
      </c>
      <c r="J511" t="s">
        <v>125</v>
      </c>
      <c r="K511">
        <v>0</v>
      </c>
      <c r="L511" t="str">
        <f t="shared" si="31"/>
        <v>Weekend</v>
      </c>
      <c r="M511">
        <v>1</v>
      </c>
      <c r="N511" t="str" cm="1">
        <f t="array" ref="N511">_xlfn.IFS(M511=1,"Sunny Day",M511=2,"Cloudy Day",M511=3,"Rainy Day",M511=4,"Heavy Rain")</f>
        <v>Sunny Day</v>
      </c>
      <c r="O511">
        <v>0.06</v>
      </c>
      <c r="P511">
        <v>7.5800000000000006E-2</v>
      </c>
      <c r="Q511">
        <v>0.62</v>
      </c>
      <c r="R511">
        <v>0.16420000000000001</v>
      </c>
      <c r="S511">
        <v>2</v>
      </c>
      <c r="T511">
        <v>17</v>
      </c>
      <c r="U511">
        <v>19</v>
      </c>
    </row>
    <row r="512" spans="1:21" x14ac:dyDescent="0.3">
      <c r="A512">
        <v>511</v>
      </c>
      <c r="B512" t="s">
        <v>49</v>
      </c>
      <c r="C512" t="str">
        <f t="shared" si="29"/>
        <v>23-Jan-2011</v>
      </c>
      <c r="D512">
        <v>1</v>
      </c>
      <c r="E512">
        <v>0</v>
      </c>
      <c r="F512">
        <v>1</v>
      </c>
      <c r="G512" t="str">
        <f t="shared" si="28"/>
        <v>Jan</v>
      </c>
      <c r="H512">
        <v>9</v>
      </c>
      <c r="I512">
        <f t="shared" si="30"/>
        <v>0</v>
      </c>
      <c r="J512" t="s">
        <v>125</v>
      </c>
      <c r="K512">
        <v>0</v>
      </c>
      <c r="L512" t="str">
        <f t="shared" si="31"/>
        <v>Weekend</v>
      </c>
      <c r="M512">
        <v>1</v>
      </c>
      <c r="N512" t="str" cm="1">
        <f t="array" ref="N512">_xlfn.IFS(M512=1,"Sunny Day",M512=2,"Cloudy Day",M512=3,"Rainy Day",M512=4,"Heavy Rain")</f>
        <v>Sunny Day</v>
      </c>
      <c r="O512">
        <v>0.1</v>
      </c>
      <c r="P512">
        <v>7.5800000000000006E-2</v>
      </c>
      <c r="Q512">
        <v>0.54</v>
      </c>
      <c r="R512">
        <v>0.35820000000000002</v>
      </c>
      <c r="S512">
        <v>3</v>
      </c>
      <c r="T512">
        <v>25</v>
      </c>
      <c r="U512">
        <v>28</v>
      </c>
    </row>
    <row r="513" spans="1:21" x14ac:dyDescent="0.3">
      <c r="A513">
        <v>512</v>
      </c>
      <c r="B513" t="s">
        <v>49</v>
      </c>
      <c r="C513" t="str">
        <f t="shared" si="29"/>
        <v>23-Jan-2011</v>
      </c>
      <c r="D513">
        <v>1</v>
      </c>
      <c r="E513">
        <v>0</v>
      </c>
      <c r="F513">
        <v>1</v>
      </c>
      <c r="G513" t="str">
        <f t="shared" si="28"/>
        <v>Jan</v>
      </c>
      <c r="H513">
        <v>10</v>
      </c>
      <c r="I513">
        <f t="shared" si="30"/>
        <v>0</v>
      </c>
      <c r="J513" t="s">
        <v>125</v>
      </c>
      <c r="K513">
        <v>0</v>
      </c>
      <c r="L513" t="str">
        <f t="shared" si="31"/>
        <v>Weekend</v>
      </c>
      <c r="M513">
        <v>1</v>
      </c>
      <c r="N513" t="str" cm="1">
        <f t="array" ref="N513">_xlfn.IFS(M513=1,"Sunny Day",M513=2,"Cloudy Day",M513=3,"Rainy Day",M513=4,"Heavy Rain")</f>
        <v>Sunny Day</v>
      </c>
      <c r="O513">
        <v>0.14000000000000001</v>
      </c>
      <c r="P513">
        <v>0.1061</v>
      </c>
      <c r="Q513">
        <v>0.46</v>
      </c>
      <c r="R513">
        <v>0.3881</v>
      </c>
      <c r="S513">
        <v>7</v>
      </c>
      <c r="T513">
        <v>51</v>
      </c>
      <c r="U513">
        <v>58</v>
      </c>
    </row>
    <row r="514" spans="1:21" x14ac:dyDescent="0.3">
      <c r="A514">
        <v>513</v>
      </c>
      <c r="B514" t="s">
        <v>49</v>
      </c>
      <c r="C514" t="str">
        <f t="shared" si="29"/>
        <v>23-Jan-2011</v>
      </c>
      <c r="D514">
        <v>1</v>
      </c>
      <c r="E514">
        <v>0</v>
      </c>
      <c r="F514">
        <v>1</v>
      </c>
      <c r="G514" t="str">
        <f t="shared" ref="G514:G577" si="32">TEXT(C514,"mmm")</f>
        <v>Jan</v>
      </c>
      <c r="H514">
        <v>11</v>
      </c>
      <c r="I514">
        <f t="shared" si="30"/>
        <v>1</v>
      </c>
      <c r="J514" t="s">
        <v>125</v>
      </c>
      <c r="K514">
        <v>0</v>
      </c>
      <c r="L514" t="str">
        <f t="shared" si="31"/>
        <v>Weekend</v>
      </c>
      <c r="M514">
        <v>1</v>
      </c>
      <c r="N514" t="str" cm="1">
        <f t="array" ref="N514">_xlfn.IFS(M514=1,"Sunny Day",M514=2,"Cloudy Day",M514=3,"Rainy Day",M514=4,"Heavy Rain")</f>
        <v>Sunny Day</v>
      </c>
      <c r="O514">
        <v>0.14000000000000001</v>
      </c>
      <c r="P514">
        <v>0.13639999999999999</v>
      </c>
      <c r="Q514">
        <v>0.43</v>
      </c>
      <c r="R514">
        <v>0.22389999999999999</v>
      </c>
      <c r="S514">
        <v>22</v>
      </c>
      <c r="T514">
        <v>77</v>
      </c>
      <c r="U514">
        <v>99</v>
      </c>
    </row>
    <row r="515" spans="1:21" x14ac:dyDescent="0.3">
      <c r="A515">
        <v>514</v>
      </c>
      <c r="B515" t="s">
        <v>49</v>
      </c>
      <c r="C515" t="str">
        <f t="shared" ref="C515:C578" si="33">TEXT(DATEVALUE(B515),"dd-mmm-yyyy")</f>
        <v>23-Jan-2011</v>
      </c>
      <c r="D515">
        <v>1</v>
      </c>
      <c r="E515">
        <v>0</v>
      </c>
      <c r="F515">
        <v>1</v>
      </c>
      <c r="G515" t="str">
        <f t="shared" si="32"/>
        <v>Jan</v>
      </c>
      <c r="H515">
        <v>12</v>
      </c>
      <c r="I515">
        <f t="shared" ref="I515:I578" si="34">IF(AND(H515&gt;=0,H515&lt;=10),0,1)</f>
        <v>1</v>
      </c>
      <c r="J515" t="s">
        <v>125</v>
      </c>
      <c r="K515">
        <v>0</v>
      </c>
      <c r="L515" t="str">
        <f t="shared" ref="L515:L578" si="35">IF(AND(K515&gt;=1,K515&lt;=5),"Weekday","Weekend")</f>
        <v>Weekend</v>
      </c>
      <c r="M515">
        <v>1</v>
      </c>
      <c r="N515" t="str" cm="1">
        <f t="array" ref="N515">_xlfn.IFS(M515=1,"Sunny Day",M515=2,"Cloudy Day",M515=3,"Rainy Day",M515=4,"Heavy Rain")</f>
        <v>Sunny Day</v>
      </c>
      <c r="O515">
        <v>0.16</v>
      </c>
      <c r="P515">
        <v>0.1212</v>
      </c>
      <c r="Q515">
        <v>0.37</v>
      </c>
      <c r="R515">
        <v>0.4627</v>
      </c>
      <c r="S515">
        <v>24</v>
      </c>
      <c r="T515">
        <v>92</v>
      </c>
      <c r="U515">
        <v>116</v>
      </c>
    </row>
    <row r="516" spans="1:21" x14ac:dyDescent="0.3">
      <c r="A516">
        <v>515</v>
      </c>
      <c r="B516" t="s">
        <v>49</v>
      </c>
      <c r="C516" t="str">
        <f t="shared" si="33"/>
        <v>23-Jan-2011</v>
      </c>
      <c r="D516">
        <v>1</v>
      </c>
      <c r="E516">
        <v>0</v>
      </c>
      <c r="F516">
        <v>1</v>
      </c>
      <c r="G516" t="str">
        <f t="shared" si="32"/>
        <v>Jan</v>
      </c>
      <c r="H516">
        <v>13</v>
      </c>
      <c r="I516">
        <f t="shared" si="34"/>
        <v>1</v>
      </c>
      <c r="J516" t="s">
        <v>125</v>
      </c>
      <c r="K516">
        <v>0</v>
      </c>
      <c r="L516" t="str">
        <f t="shared" si="35"/>
        <v>Weekend</v>
      </c>
      <c r="M516">
        <v>1</v>
      </c>
      <c r="N516" t="str" cm="1">
        <f t="array" ref="N516">_xlfn.IFS(M516=1,"Sunny Day",M516=2,"Cloudy Day",M516=3,"Rainy Day",M516=4,"Heavy Rain")</f>
        <v>Sunny Day</v>
      </c>
      <c r="O516">
        <v>0.14000000000000001</v>
      </c>
      <c r="P516">
        <v>0.1061</v>
      </c>
      <c r="Q516">
        <v>0.33</v>
      </c>
      <c r="R516">
        <v>0.3881</v>
      </c>
      <c r="S516">
        <v>12</v>
      </c>
      <c r="T516">
        <v>75</v>
      </c>
      <c r="U516">
        <v>87</v>
      </c>
    </row>
    <row r="517" spans="1:21" x14ac:dyDescent="0.3">
      <c r="A517">
        <v>516</v>
      </c>
      <c r="B517" t="s">
        <v>49</v>
      </c>
      <c r="C517" t="str">
        <f t="shared" si="33"/>
        <v>23-Jan-2011</v>
      </c>
      <c r="D517">
        <v>1</v>
      </c>
      <c r="E517">
        <v>0</v>
      </c>
      <c r="F517">
        <v>1</v>
      </c>
      <c r="G517" t="str">
        <f t="shared" si="32"/>
        <v>Jan</v>
      </c>
      <c r="H517">
        <v>14</v>
      </c>
      <c r="I517">
        <f t="shared" si="34"/>
        <v>1</v>
      </c>
      <c r="J517" t="s">
        <v>125</v>
      </c>
      <c r="K517">
        <v>0</v>
      </c>
      <c r="L517" t="str">
        <f t="shared" si="35"/>
        <v>Weekend</v>
      </c>
      <c r="M517">
        <v>1</v>
      </c>
      <c r="N517" t="str" cm="1">
        <f t="array" ref="N517">_xlfn.IFS(M517=1,"Sunny Day",M517=2,"Cloudy Day",M517=3,"Rainy Day",M517=4,"Heavy Rain")</f>
        <v>Sunny Day</v>
      </c>
      <c r="O517">
        <v>0.16</v>
      </c>
      <c r="P517">
        <v>0.13639999999999999</v>
      </c>
      <c r="Q517">
        <v>0.28000000000000003</v>
      </c>
      <c r="R517">
        <v>0.35820000000000002</v>
      </c>
      <c r="S517">
        <v>17</v>
      </c>
      <c r="T517">
        <v>93</v>
      </c>
      <c r="U517">
        <v>110</v>
      </c>
    </row>
    <row r="518" spans="1:21" x14ac:dyDescent="0.3">
      <c r="A518">
        <v>517</v>
      </c>
      <c r="B518" t="s">
        <v>49</v>
      </c>
      <c r="C518" t="str">
        <f t="shared" si="33"/>
        <v>23-Jan-2011</v>
      </c>
      <c r="D518">
        <v>1</v>
      </c>
      <c r="E518">
        <v>0</v>
      </c>
      <c r="F518">
        <v>1</v>
      </c>
      <c r="G518" t="str">
        <f t="shared" si="32"/>
        <v>Jan</v>
      </c>
      <c r="H518">
        <v>15</v>
      </c>
      <c r="I518">
        <f t="shared" si="34"/>
        <v>1</v>
      </c>
      <c r="J518" t="s">
        <v>125</v>
      </c>
      <c r="K518">
        <v>0</v>
      </c>
      <c r="L518" t="str">
        <f t="shared" si="35"/>
        <v>Weekend</v>
      </c>
      <c r="M518">
        <v>1</v>
      </c>
      <c r="N518" t="str" cm="1">
        <f t="array" ref="N518">_xlfn.IFS(M518=1,"Sunny Day",M518=2,"Cloudy Day",M518=3,"Rainy Day",M518=4,"Heavy Rain")</f>
        <v>Sunny Day</v>
      </c>
      <c r="O518">
        <v>0.16</v>
      </c>
      <c r="P518">
        <v>0.13639999999999999</v>
      </c>
      <c r="Q518">
        <v>0.28000000000000003</v>
      </c>
      <c r="R518">
        <v>0.35820000000000002</v>
      </c>
      <c r="S518">
        <v>13</v>
      </c>
      <c r="T518">
        <v>64</v>
      </c>
      <c r="U518">
        <v>77</v>
      </c>
    </row>
    <row r="519" spans="1:21" x14ac:dyDescent="0.3">
      <c r="A519">
        <v>518</v>
      </c>
      <c r="B519" t="s">
        <v>49</v>
      </c>
      <c r="C519" t="str">
        <f t="shared" si="33"/>
        <v>23-Jan-2011</v>
      </c>
      <c r="D519">
        <v>1</v>
      </c>
      <c r="E519">
        <v>0</v>
      </c>
      <c r="F519">
        <v>1</v>
      </c>
      <c r="G519" t="str">
        <f t="shared" si="32"/>
        <v>Jan</v>
      </c>
      <c r="H519">
        <v>16</v>
      </c>
      <c r="I519">
        <f t="shared" si="34"/>
        <v>1</v>
      </c>
      <c r="J519" t="s">
        <v>125</v>
      </c>
      <c r="K519">
        <v>0</v>
      </c>
      <c r="L519" t="str">
        <f t="shared" si="35"/>
        <v>Weekend</v>
      </c>
      <c r="M519">
        <v>1</v>
      </c>
      <c r="N519" t="str" cm="1">
        <f t="array" ref="N519">_xlfn.IFS(M519=1,"Sunny Day",M519=2,"Cloudy Day",M519=3,"Rainy Day",M519=4,"Heavy Rain")</f>
        <v>Sunny Day</v>
      </c>
      <c r="O519">
        <v>0.16</v>
      </c>
      <c r="P519">
        <v>0.13639999999999999</v>
      </c>
      <c r="Q519">
        <v>0.26</v>
      </c>
      <c r="R519">
        <v>0.32840000000000003</v>
      </c>
      <c r="S519">
        <v>9</v>
      </c>
      <c r="T519">
        <v>56</v>
      </c>
      <c r="U519">
        <v>65</v>
      </c>
    </row>
    <row r="520" spans="1:21" x14ac:dyDescent="0.3">
      <c r="A520">
        <v>519</v>
      </c>
      <c r="B520" t="s">
        <v>49</v>
      </c>
      <c r="C520" t="str">
        <f t="shared" si="33"/>
        <v>23-Jan-2011</v>
      </c>
      <c r="D520">
        <v>1</v>
      </c>
      <c r="E520">
        <v>0</v>
      </c>
      <c r="F520">
        <v>1</v>
      </c>
      <c r="G520" t="str">
        <f t="shared" si="32"/>
        <v>Jan</v>
      </c>
      <c r="H520">
        <v>17</v>
      </c>
      <c r="I520">
        <f t="shared" si="34"/>
        <v>1</v>
      </c>
      <c r="J520" t="s">
        <v>125</v>
      </c>
      <c r="K520">
        <v>0</v>
      </c>
      <c r="L520" t="str">
        <f t="shared" si="35"/>
        <v>Weekend</v>
      </c>
      <c r="M520">
        <v>1</v>
      </c>
      <c r="N520" t="str" cm="1">
        <f t="array" ref="N520">_xlfn.IFS(M520=1,"Sunny Day",M520=2,"Cloudy Day",M520=3,"Rainy Day",M520=4,"Heavy Rain")</f>
        <v>Sunny Day</v>
      </c>
      <c r="O520">
        <v>0.14000000000000001</v>
      </c>
      <c r="P520">
        <v>0.1061</v>
      </c>
      <c r="Q520">
        <v>0.26</v>
      </c>
      <c r="R520">
        <v>0.3881</v>
      </c>
      <c r="S520">
        <v>5</v>
      </c>
      <c r="T520">
        <v>50</v>
      </c>
      <c r="U520">
        <v>55</v>
      </c>
    </row>
    <row r="521" spans="1:21" x14ac:dyDescent="0.3">
      <c r="A521">
        <v>520</v>
      </c>
      <c r="B521" t="s">
        <v>49</v>
      </c>
      <c r="C521" t="str">
        <f t="shared" si="33"/>
        <v>23-Jan-2011</v>
      </c>
      <c r="D521">
        <v>1</v>
      </c>
      <c r="E521">
        <v>0</v>
      </c>
      <c r="F521">
        <v>1</v>
      </c>
      <c r="G521" t="str">
        <f t="shared" si="32"/>
        <v>Jan</v>
      </c>
      <c r="H521">
        <v>18</v>
      </c>
      <c r="I521">
        <f t="shared" si="34"/>
        <v>1</v>
      </c>
      <c r="J521" t="s">
        <v>125</v>
      </c>
      <c r="K521">
        <v>0</v>
      </c>
      <c r="L521" t="str">
        <f t="shared" si="35"/>
        <v>Weekend</v>
      </c>
      <c r="M521">
        <v>1</v>
      </c>
      <c r="N521" t="str" cm="1">
        <f t="array" ref="N521">_xlfn.IFS(M521=1,"Sunny Day",M521=2,"Cloudy Day",M521=3,"Rainy Day",M521=4,"Heavy Rain")</f>
        <v>Sunny Day</v>
      </c>
      <c r="O521">
        <v>0.12</v>
      </c>
      <c r="P521">
        <v>0.1212</v>
      </c>
      <c r="Q521">
        <v>0.3</v>
      </c>
      <c r="R521">
        <v>0.25369999999999998</v>
      </c>
      <c r="S521">
        <v>5</v>
      </c>
      <c r="T521">
        <v>44</v>
      </c>
      <c r="U521">
        <v>49</v>
      </c>
    </row>
    <row r="522" spans="1:21" x14ac:dyDescent="0.3">
      <c r="A522">
        <v>521</v>
      </c>
      <c r="B522" t="s">
        <v>49</v>
      </c>
      <c r="C522" t="str">
        <f t="shared" si="33"/>
        <v>23-Jan-2011</v>
      </c>
      <c r="D522">
        <v>1</v>
      </c>
      <c r="E522">
        <v>0</v>
      </c>
      <c r="F522">
        <v>1</v>
      </c>
      <c r="G522" t="str">
        <f t="shared" si="32"/>
        <v>Jan</v>
      </c>
      <c r="H522">
        <v>19</v>
      </c>
      <c r="I522">
        <f t="shared" si="34"/>
        <v>1</v>
      </c>
      <c r="J522" t="s">
        <v>125</v>
      </c>
      <c r="K522">
        <v>0</v>
      </c>
      <c r="L522" t="str">
        <f t="shared" si="35"/>
        <v>Weekend</v>
      </c>
      <c r="M522">
        <v>1</v>
      </c>
      <c r="N522" t="str" cm="1">
        <f t="array" ref="N522">_xlfn.IFS(M522=1,"Sunny Day",M522=2,"Cloudy Day",M522=3,"Rainy Day",M522=4,"Heavy Rain")</f>
        <v>Sunny Day</v>
      </c>
      <c r="O522">
        <v>0.12</v>
      </c>
      <c r="P522">
        <v>0.1212</v>
      </c>
      <c r="Q522">
        <v>0.3</v>
      </c>
      <c r="R522">
        <v>0.28360000000000002</v>
      </c>
      <c r="S522">
        <v>5</v>
      </c>
      <c r="T522">
        <v>45</v>
      </c>
      <c r="U522">
        <v>50</v>
      </c>
    </row>
    <row r="523" spans="1:21" x14ac:dyDescent="0.3">
      <c r="A523">
        <v>522</v>
      </c>
      <c r="B523" t="s">
        <v>49</v>
      </c>
      <c r="C523" t="str">
        <f t="shared" si="33"/>
        <v>23-Jan-2011</v>
      </c>
      <c r="D523">
        <v>1</v>
      </c>
      <c r="E523">
        <v>0</v>
      </c>
      <c r="F523">
        <v>1</v>
      </c>
      <c r="G523" t="str">
        <f t="shared" si="32"/>
        <v>Jan</v>
      </c>
      <c r="H523">
        <v>20</v>
      </c>
      <c r="I523">
        <f t="shared" si="34"/>
        <v>1</v>
      </c>
      <c r="J523" t="s">
        <v>125</v>
      </c>
      <c r="K523">
        <v>0</v>
      </c>
      <c r="L523" t="str">
        <f t="shared" si="35"/>
        <v>Weekend</v>
      </c>
      <c r="M523">
        <v>1</v>
      </c>
      <c r="N523" t="str" cm="1">
        <f t="array" ref="N523">_xlfn.IFS(M523=1,"Sunny Day",M523=2,"Cloudy Day",M523=3,"Rainy Day",M523=4,"Heavy Rain")</f>
        <v>Sunny Day</v>
      </c>
      <c r="O523">
        <v>0.1</v>
      </c>
      <c r="P523">
        <v>0.1061</v>
      </c>
      <c r="Q523">
        <v>0.36</v>
      </c>
      <c r="R523">
        <v>0.25369999999999998</v>
      </c>
      <c r="S523">
        <v>4</v>
      </c>
      <c r="T523">
        <v>31</v>
      </c>
      <c r="U523">
        <v>35</v>
      </c>
    </row>
    <row r="524" spans="1:21" x14ac:dyDescent="0.3">
      <c r="A524">
        <v>523</v>
      </c>
      <c r="B524" t="s">
        <v>49</v>
      </c>
      <c r="C524" t="str">
        <f t="shared" si="33"/>
        <v>23-Jan-2011</v>
      </c>
      <c r="D524">
        <v>1</v>
      </c>
      <c r="E524">
        <v>0</v>
      </c>
      <c r="F524">
        <v>1</v>
      </c>
      <c r="G524" t="str">
        <f t="shared" si="32"/>
        <v>Jan</v>
      </c>
      <c r="H524">
        <v>21</v>
      </c>
      <c r="I524">
        <f t="shared" si="34"/>
        <v>1</v>
      </c>
      <c r="J524" t="s">
        <v>125</v>
      </c>
      <c r="K524">
        <v>0</v>
      </c>
      <c r="L524" t="str">
        <f t="shared" si="35"/>
        <v>Weekend</v>
      </c>
      <c r="M524">
        <v>1</v>
      </c>
      <c r="N524" t="str" cm="1">
        <f t="array" ref="N524">_xlfn.IFS(M524=1,"Sunny Day",M524=2,"Cloudy Day",M524=3,"Rainy Day",M524=4,"Heavy Rain")</f>
        <v>Sunny Day</v>
      </c>
      <c r="O524">
        <v>0.1</v>
      </c>
      <c r="P524">
        <v>0.1061</v>
      </c>
      <c r="Q524">
        <v>0.36</v>
      </c>
      <c r="R524">
        <v>0.19400000000000001</v>
      </c>
      <c r="S524">
        <v>5</v>
      </c>
      <c r="T524">
        <v>20</v>
      </c>
      <c r="U524">
        <v>25</v>
      </c>
    </row>
    <row r="525" spans="1:21" x14ac:dyDescent="0.3">
      <c r="A525">
        <v>524</v>
      </c>
      <c r="B525" t="s">
        <v>49</v>
      </c>
      <c r="C525" t="str">
        <f t="shared" si="33"/>
        <v>23-Jan-2011</v>
      </c>
      <c r="D525">
        <v>1</v>
      </c>
      <c r="E525">
        <v>0</v>
      </c>
      <c r="F525">
        <v>1</v>
      </c>
      <c r="G525" t="str">
        <f t="shared" si="32"/>
        <v>Jan</v>
      </c>
      <c r="H525">
        <v>22</v>
      </c>
      <c r="I525">
        <f t="shared" si="34"/>
        <v>1</v>
      </c>
      <c r="J525" t="s">
        <v>125</v>
      </c>
      <c r="K525">
        <v>0</v>
      </c>
      <c r="L525" t="str">
        <f t="shared" si="35"/>
        <v>Weekend</v>
      </c>
      <c r="M525">
        <v>1</v>
      </c>
      <c r="N525" t="str" cm="1">
        <f t="array" ref="N525">_xlfn.IFS(M525=1,"Sunny Day",M525=2,"Cloudy Day",M525=3,"Rainy Day",M525=4,"Heavy Rain")</f>
        <v>Sunny Day</v>
      </c>
      <c r="O525">
        <v>0.08</v>
      </c>
      <c r="P525">
        <v>9.0899999999999995E-2</v>
      </c>
      <c r="Q525">
        <v>0.38</v>
      </c>
      <c r="R525">
        <v>0.19400000000000001</v>
      </c>
      <c r="S525">
        <v>5</v>
      </c>
      <c r="T525">
        <v>23</v>
      </c>
      <c r="U525">
        <v>28</v>
      </c>
    </row>
    <row r="526" spans="1:21" x14ac:dyDescent="0.3">
      <c r="A526">
        <v>525</v>
      </c>
      <c r="B526" t="s">
        <v>49</v>
      </c>
      <c r="C526" t="str">
        <f t="shared" si="33"/>
        <v>23-Jan-2011</v>
      </c>
      <c r="D526">
        <v>1</v>
      </c>
      <c r="E526">
        <v>0</v>
      </c>
      <c r="F526">
        <v>1</v>
      </c>
      <c r="G526" t="str">
        <f t="shared" si="32"/>
        <v>Jan</v>
      </c>
      <c r="H526">
        <v>23</v>
      </c>
      <c r="I526">
        <f t="shared" si="34"/>
        <v>1</v>
      </c>
      <c r="J526" t="s">
        <v>125</v>
      </c>
      <c r="K526">
        <v>0</v>
      </c>
      <c r="L526" t="str">
        <f t="shared" si="35"/>
        <v>Weekend</v>
      </c>
      <c r="M526">
        <v>1</v>
      </c>
      <c r="N526" t="str" cm="1">
        <f t="array" ref="N526">_xlfn.IFS(M526=1,"Sunny Day",M526=2,"Cloudy Day",M526=3,"Rainy Day",M526=4,"Heavy Rain")</f>
        <v>Sunny Day</v>
      </c>
      <c r="O526">
        <v>0.06</v>
      </c>
      <c r="P526">
        <v>6.0600000000000001E-2</v>
      </c>
      <c r="Q526">
        <v>0.41</v>
      </c>
      <c r="R526">
        <v>0.22389999999999999</v>
      </c>
      <c r="S526">
        <v>4</v>
      </c>
      <c r="T526">
        <v>17</v>
      </c>
      <c r="U526">
        <v>21</v>
      </c>
    </row>
    <row r="527" spans="1:21" x14ac:dyDescent="0.3">
      <c r="A527">
        <v>526</v>
      </c>
      <c r="B527" t="s">
        <v>51</v>
      </c>
      <c r="C527" t="str">
        <f t="shared" si="33"/>
        <v>24-Jan-2011</v>
      </c>
      <c r="D527">
        <v>1</v>
      </c>
      <c r="E527">
        <v>0</v>
      </c>
      <c r="F527">
        <v>1</v>
      </c>
      <c r="G527" t="str">
        <f t="shared" si="32"/>
        <v>Jan</v>
      </c>
      <c r="H527">
        <v>0</v>
      </c>
      <c r="I527">
        <f t="shared" si="34"/>
        <v>0</v>
      </c>
      <c r="J527" t="s">
        <v>126</v>
      </c>
      <c r="K527">
        <v>1</v>
      </c>
      <c r="L527" t="str">
        <f t="shared" si="35"/>
        <v>Weekday</v>
      </c>
      <c r="M527">
        <v>1</v>
      </c>
      <c r="N527" t="str" cm="1">
        <f t="array" ref="N527">_xlfn.IFS(M527=1,"Sunny Day",M527=2,"Cloudy Day",M527=3,"Rainy Day",M527=4,"Heavy Rain")</f>
        <v>Sunny Day</v>
      </c>
      <c r="O527">
        <v>0.06</v>
      </c>
      <c r="P527">
        <v>6.0600000000000001E-2</v>
      </c>
      <c r="Q527">
        <v>0.41</v>
      </c>
      <c r="R527">
        <v>0.19400000000000001</v>
      </c>
      <c r="S527">
        <v>0</v>
      </c>
      <c r="T527">
        <v>7</v>
      </c>
      <c r="U527">
        <v>7</v>
      </c>
    </row>
    <row r="528" spans="1:21" x14ac:dyDescent="0.3">
      <c r="A528">
        <v>527</v>
      </c>
      <c r="B528" t="s">
        <v>51</v>
      </c>
      <c r="C528" t="str">
        <f t="shared" si="33"/>
        <v>24-Jan-2011</v>
      </c>
      <c r="D528">
        <v>1</v>
      </c>
      <c r="E528">
        <v>0</v>
      </c>
      <c r="F528">
        <v>1</v>
      </c>
      <c r="G528" t="str">
        <f t="shared" si="32"/>
        <v>Jan</v>
      </c>
      <c r="H528">
        <v>1</v>
      </c>
      <c r="I528">
        <f t="shared" si="34"/>
        <v>0</v>
      </c>
      <c r="J528" t="s">
        <v>126</v>
      </c>
      <c r="K528">
        <v>1</v>
      </c>
      <c r="L528" t="str">
        <f t="shared" si="35"/>
        <v>Weekday</v>
      </c>
      <c r="M528">
        <v>1</v>
      </c>
      <c r="N528" t="str" cm="1">
        <f t="array" ref="N528">_xlfn.IFS(M528=1,"Sunny Day",M528=2,"Cloudy Day",M528=3,"Rainy Day",M528=4,"Heavy Rain")</f>
        <v>Sunny Day</v>
      </c>
      <c r="O528">
        <v>0.04</v>
      </c>
      <c r="P528">
        <v>4.5499999999999999E-2</v>
      </c>
      <c r="Q528">
        <v>0.45</v>
      </c>
      <c r="R528">
        <v>0.19400000000000001</v>
      </c>
      <c r="S528">
        <v>0</v>
      </c>
      <c r="T528">
        <v>1</v>
      </c>
      <c r="U528">
        <v>1</v>
      </c>
    </row>
    <row r="529" spans="1:21" x14ac:dyDescent="0.3">
      <c r="A529">
        <v>528</v>
      </c>
      <c r="B529" t="s">
        <v>51</v>
      </c>
      <c r="C529" t="str">
        <f t="shared" si="33"/>
        <v>24-Jan-2011</v>
      </c>
      <c r="D529">
        <v>1</v>
      </c>
      <c r="E529">
        <v>0</v>
      </c>
      <c r="F529">
        <v>1</v>
      </c>
      <c r="G529" t="str">
        <f t="shared" si="32"/>
        <v>Jan</v>
      </c>
      <c r="H529">
        <v>3</v>
      </c>
      <c r="I529">
        <f t="shared" si="34"/>
        <v>0</v>
      </c>
      <c r="J529" t="s">
        <v>126</v>
      </c>
      <c r="K529">
        <v>1</v>
      </c>
      <c r="L529" t="str">
        <f t="shared" si="35"/>
        <v>Weekday</v>
      </c>
      <c r="M529">
        <v>1</v>
      </c>
      <c r="N529" t="str" cm="1">
        <f t="array" ref="N529">_xlfn.IFS(M529=1,"Sunny Day",M529=2,"Cloudy Day",M529=3,"Rainy Day",M529=4,"Heavy Rain")</f>
        <v>Sunny Day</v>
      </c>
      <c r="O529">
        <v>0.04</v>
      </c>
      <c r="P529">
        <v>3.0300000000000001E-2</v>
      </c>
      <c r="Q529">
        <v>0.45</v>
      </c>
      <c r="R529">
        <v>0.25369999999999998</v>
      </c>
      <c r="S529">
        <v>0</v>
      </c>
      <c r="T529">
        <v>1</v>
      </c>
      <c r="U529">
        <v>1</v>
      </c>
    </row>
    <row r="530" spans="1:21" x14ac:dyDescent="0.3">
      <c r="A530">
        <v>529</v>
      </c>
      <c r="B530" t="s">
        <v>51</v>
      </c>
      <c r="C530" t="str">
        <f t="shared" si="33"/>
        <v>24-Jan-2011</v>
      </c>
      <c r="D530">
        <v>1</v>
      </c>
      <c r="E530">
        <v>0</v>
      </c>
      <c r="F530">
        <v>1</v>
      </c>
      <c r="G530" t="str">
        <f t="shared" si="32"/>
        <v>Jan</v>
      </c>
      <c r="H530">
        <v>4</v>
      </c>
      <c r="I530">
        <f t="shared" si="34"/>
        <v>0</v>
      </c>
      <c r="J530" t="s">
        <v>126</v>
      </c>
      <c r="K530">
        <v>1</v>
      </c>
      <c r="L530" t="str">
        <f t="shared" si="35"/>
        <v>Weekday</v>
      </c>
      <c r="M530">
        <v>1</v>
      </c>
      <c r="N530" t="str" cm="1">
        <f t="array" ref="N530">_xlfn.IFS(M530=1,"Sunny Day",M530=2,"Cloudy Day",M530=3,"Rainy Day",M530=4,"Heavy Rain")</f>
        <v>Sunny Day</v>
      </c>
      <c r="O530">
        <v>0.02</v>
      </c>
      <c r="P530">
        <v>6.0600000000000001E-2</v>
      </c>
      <c r="Q530">
        <v>0.48</v>
      </c>
      <c r="R530">
        <v>0.1343</v>
      </c>
      <c r="S530">
        <v>0</v>
      </c>
      <c r="T530">
        <v>1</v>
      </c>
      <c r="U530">
        <v>1</v>
      </c>
    </row>
    <row r="531" spans="1:21" x14ac:dyDescent="0.3">
      <c r="A531">
        <v>530</v>
      </c>
      <c r="B531" t="s">
        <v>51</v>
      </c>
      <c r="C531" t="str">
        <f t="shared" si="33"/>
        <v>24-Jan-2011</v>
      </c>
      <c r="D531">
        <v>1</v>
      </c>
      <c r="E531">
        <v>0</v>
      </c>
      <c r="F531">
        <v>1</v>
      </c>
      <c r="G531" t="str">
        <f t="shared" si="32"/>
        <v>Jan</v>
      </c>
      <c r="H531">
        <v>5</v>
      </c>
      <c r="I531">
        <f t="shared" si="34"/>
        <v>0</v>
      </c>
      <c r="J531" t="s">
        <v>126</v>
      </c>
      <c r="K531">
        <v>1</v>
      </c>
      <c r="L531" t="str">
        <f t="shared" si="35"/>
        <v>Weekday</v>
      </c>
      <c r="M531">
        <v>1</v>
      </c>
      <c r="N531" t="str" cm="1">
        <f t="array" ref="N531">_xlfn.IFS(M531=1,"Sunny Day",M531=2,"Cloudy Day",M531=3,"Rainy Day",M531=4,"Heavy Rain")</f>
        <v>Sunny Day</v>
      </c>
      <c r="O531">
        <v>0.02</v>
      </c>
      <c r="P531">
        <v>6.0600000000000001E-2</v>
      </c>
      <c r="Q531">
        <v>0.48</v>
      </c>
      <c r="R531">
        <v>0.1343</v>
      </c>
      <c r="S531">
        <v>0</v>
      </c>
      <c r="T531">
        <v>5</v>
      </c>
      <c r="U531">
        <v>5</v>
      </c>
    </row>
    <row r="532" spans="1:21" x14ac:dyDescent="0.3">
      <c r="A532">
        <v>531</v>
      </c>
      <c r="B532" t="s">
        <v>51</v>
      </c>
      <c r="C532" t="str">
        <f t="shared" si="33"/>
        <v>24-Jan-2011</v>
      </c>
      <c r="D532">
        <v>1</v>
      </c>
      <c r="E532">
        <v>0</v>
      </c>
      <c r="F532">
        <v>1</v>
      </c>
      <c r="G532" t="str">
        <f t="shared" si="32"/>
        <v>Jan</v>
      </c>
      <c r="H532">
        <v>6</v>
      </c>
      <c r="I532">
        <f t="shared" si="34"/>
        <v>0</v>
      </c>
      <c r="J532" t="s">
        <v>126</v>
      </c>
      <c r="K532">
        <v>1</v>
      </c>
      <c r="L532" t="str">
        <f t="shared" si="35"/>
        <v>Weekday</v>
      </c>
      <c r="M532">
        <v>1</v>
      </c>
      <c r="N532" t="str" cm="1">
        <f t="array" ref="N532">_xlfn.IFS(M532=1,"Sunny Day",M532=2,"Cloudy Day",M532=3,"Rainy Day",M532=4,"Heavy Rain")</f>
        <v>Sunny Day</v>
      </c>
      <c r="O532">
        <v>0.02</v>
      </c>
      <c r="P532">
        <v>7.5800000000000006E-2</v>
      </c>
      <c r="Q532">
        <v>0.48</v>
      </c>
      <c r="R532">
        <v>8.9599999999999999E-2</v>
      </c>
      <c r="S532">
        <v>0</v>
      </c>
      <c r="T532">
        <v>15</v>
      </c>
      <c r="U532">
        <v>15</v>
      </c>
    </row>
    <row r="533" spans="1:21" x14ac:dyDescent="0.3">
      <c r="A533">
        <v>532</v>
      </c>
      <c r="B533" t="s">
        <v>51</v>
      </c>
      <c r="C533" t="str">
        <f t="shared" si="33"/>
        <v>24-Jan-2011</v>
      </c>
      <c r="D533">
        <v>1</v>
      </c>
      <c r="E533">
        <v>0</v>
      </c>
      <c r="F533">
        <v>1</v>
      </c>
      <c r="G533" t="str">
        <f t="shared" si="32"/>
        <v>Jan</v>
      </c>
      <c r="H533">
        <v>7</v>
      </c>
      <c r="I533">
        <f t="shared" si="34"/>
        <v>0</v>
      </c>
      <c r="J533" t="s">
        <v>126</v>
      </c>
      <c r="K533">
        <v>1</v>
      </c>
      <c r="L533" t="str">
        <f t="shared" si="35"/>
        <v>Weekday</v>
      </c>
      <c r="M533">
        <v>1</v>
      </c>
      <c r="N533" t="str" cm="1">
        <f t="array" ref="N533">_xlfn.IFS(M533=1,"Sunny Day",M533=2,"Cloudy Day",M533=3,"Rainy Day",M533=4,"Heavy Rain")</f>
        <v>Sunny Day</v>
      </c>
      <c r="O533">
        <v>0.02</v>
      </c>
      <c r="P533">
        <v>0.1212</v>
      </c>
      <c r="Q533">
        <v>0.48</v>
      </c>
      <c r="R533">
        <v>0</v>
      </c>
      <c r="S533">
        <v>5</v>
      </c>
      <c r="T533">
        <v>79</v>
      </c>
      <c r="U533">
        <v>84</v>
      </c>
    </row>
    <row r="534" spans="1:21" x14ac:dyDescent="0.3">
      <c r="A534">
        <v>533</v>
      </c>
      <c r="B534" t="s">
        <v>51</v>
      </c>
      <c r="C534" t="str">
        <f t="shared" si="33"/>
        <v>24-Jan-2011</v>
      </c>
      <c r="D534">
        <v>1</v>
      </c>
      <c r="E534">
        <v>0</v>
      </c>
      <c r="F534">
        <v>1</v>
      </c>
      <c r="G534" t="str">
        <f t="shared" si="32"/>
        <v>Jan</v>
      </c>
      <c r="H534">
        <v>8</v>
      </c>
      <c r="I534">
        <f t="shared" si="34"/>
        <v>0</v>
      </c>
      <c r="J534" t="s">
        <v>126</v>
      </c>
      <c r="K534">
        <v>1</v>
      </c>
      <c r="L534" t="str">
        <f t="shared" si="35"/>
        <v>Weekday</v>
      </c>
      <c r="M534">
        <v>1</v>
      </c>
      <c r="N534" t="str" cm="1">
        <f t="array" ref="N534">_xlfn.IFS(M534=1,"Sunny Day",M534=2,"Cloudy Day",M534=3,"Rainy Day",M534=4,"Heavy Rain")</f>
        <v>Sunny Day</v>
      </c>
      <c r="O534">
        <v>0.04</v>
      </c>
      <c r="P534">
        <v>0.13639999999999999</v>
      </c>
      <c r="Q534">
        <v>0.49</v>
      </c>
      <c r="R534">
        <v>0</v>
      </c>
      <c r="S534">
        <v>6</v>
      </c>
      <c r="T534">
        <v>171</v>
      </c>
      <c r="U534">
        <v>177</v>
      </c>
    </row>
    <row r="535" spans="1:21" x14ac:dyDescent="0.3">
      <c r="A535">
        <v>534</v>
      </c>
      <c r="B535" t="s">
        <v>51</v>
      </c>
      <c r="C535" t="str">
        <f t="shared" si="33"/>
        <v>24-Jan-2011</v>
      </c>
      <c r="D535">
        <v>1</v>
      </c>
      <c r="E535">
        <v>0</v>
      </c>
      <c r="F535">
        <v>1</v>
      </c>
      <c r="G535" t="str">
        <f t="shared" si="32"/>
        <v>Jan</v>
      </c>
      <c r="H535">
        <v>9</v>
      </c>
      <c r="I535">
        <f t="shared" si="34"/>
        <v>0</v>
      </c>
      <c r="J535" t="s">
        <v>126</v>
      </c>
      <c r="K535">
        <v>1</v>
      </c>
      <c r="L535" t="str">
        <f t="shared" si="35"/>
        <v>Weekday</v>
      </c>
      <c r="M535">
        <v>1</v>
      </c>
      <c r="N535" t="str" cm="1">
        <f t="array" ref="N535">_xlfn.IFS(M535=1,"Sunny Day",M535=2,"Cloudy Day",M535=3,"Rainy Day",M535=4,"Heavy Rain")</f>
        <v>Sunny Day</v>
      </c>
      <c r="O535">
        <v>0.06</v>
      </c>
      <c r="P535">
        <v>0.1515</v>
      </c>
      <c r="Q535">
        <v>0.41</v>
      </c>
      <c r="R535">
        <v>0</v>
      </c>
      <c r="S535">
        <v>4</v>
      </c>
      <c r="T535">
        <v>98</v>
      </c>
      <c r="U535">
        <v>102</v>
      </c>
    </row>
    <row r="536" spans="1:21" x14ac:dyDescent="0.3">
      <c r="A536">
        <v>535</v>
      </c>
      <c r="B536" t="s">
        <v>51</v>
      </c>
      <c r="C536" t="str">
        <f t="shared" si="33"/>
        <v>24-Jan-2011</v>
      </c>
      <c r="D536">
        <v>1</v>
      </c>
      <c r="E536">
        <v>0</v>
      </c>
      <c r="F536">
        <v>1</v>
      </c>
      <c r="G536" t="str">
        <f t="shared" si="32"/>
        <v>Jan</v>
      </c>
      <c r="H536">
        <v>10</v>
      </c>
      <c r="I536">
        <f t="shared" si="34"/>
        <v>0</v>
      </c>
      <c r="J536" t="s">
        <v>126</v>
      </c>
      <c r="K536">
        <v>1</v>
      </c>
      <c r="L536" t="str">
        <f t="shared" si="35"/>
        <v>Weekday</v>
      </c>
      <c r="M536">
        <v>1</v>
      </c>
      <c r="N536" t="str" cm="1">
        <f t="array" ref="N536">_xlfn.IFS(M536=1,"Sunny Day",M536=2,"Cloudy Day",M536=3,"Rainy Day",M536=4,"Heavy Rain")</f>
        <v>Sunny Day</v>
      </c>
      <c r="O536">
        <v>0.1</v>
      </c>
      <c r="P536">
        <v>0.13639999999999999</v>
      </c>
      <c r="Q536">
        <v>0.42</v>
      </c>
      <c r="R536">
        <v>0</v>
      </c>
      <c r="S536">
        <v>6</v>
      </c>
      <c r="T536">
        <v>34</v>
      </c>
      <c r="U536">
        <v>40</v>
      </c>
    </row>
    <row r="537" spans="1:21" x14ac:dyDescent="0.3">
      <c r="A537">
        <v>536</v>
      </c>
      <c r="B537" t="s">
        <v>51</v>
      </c>
      <c r="C537" t="str">
        <f t="shared" si="33"/>
        <v>24-Jan-2011</v>
      </c>
      <c r="D537">
        <v>1</v>
      </c>
      <c r="E537">
        <v>0</v>
      </c>
      <c r="F537">
        <v>1</v>
      </c>
      <c r="G537" t="str">
        <f t="shared" si="32"/>
        <v>Jan</v>
      </c>
      <c r="H537">
        <v>11</v>
      </c>
      <c r="I537">
        <f t="shared" si="34"/>
        <v>1</v>
      </c>
      <c r="J537" t="s">
        <v>126</v>
      </c>
      <c r="K537">
        <v>1</v>
      </c>
      <c r="L537" t="str">
        <f t="shared" si="35"/>
        <v>Weekday</v>
      </c>
      <c r="M537">
        <v>1</v>
      </c>
      <c r="N537" t="str" cm="1">
        <f t="array" ref="N537">_xlfn.IFS(M537=1,"Sunny Day",M537=2,"Cloudy Day",M537=3,"Rainy Day",M537=4,"Heavy Rain")</f>
        <v>Sunny Day</v>
      </c>
      <c r="O537">
        <v>0.1</v>
      </c>
      <c r="P537">
        <v>0.1212</v>
      </c>
      <c r="Q537">
        <v>0.46</v>
      </c>
      <c r="R537">
        <v>0.1343</v>
      </c>
      <c r="S537">
        <v>3</v>
      </c>
      <c r="T537">
        <v>43</v>
      </c>
      <c r="U537">
        <v>46</v>
      </c>
    </row>
    <row r="538" spans="1:21" x14ac:dyDescent="0.3">
      <c r="A538">
        <v>537</v>
      </c>
      <c r="B538" t="s">
        <v>51</v>
      </c>
      <c r="C538" t="str">
        <f t="shared" si="33"/>
        <v>24-Jan-2011</v>
      </c>
      <c r="D538">
        <v>1</v>
      </c>
      <c r="E538">
        <v>0</v>
      </c>
      <c r="F538">
        <v>1</v>
      </c>
      <c r="G538" t="str">
        <f t="shared" si="32"/>
        <v>Jan</v>
      </c>
      <c r="H538">
        <v>12</v>
      </c>
      <c r="I538">
        <f t="shared" si="34"/>
        <v>1</v>
      </c>
      <c r="J538" t="s">
        <v>126</v>
      </c>
      <c r="K538">
        <v>1</v>
      </c>
      <c r="L538" t="str">
        <f t="shared" si="35"/>
        <v>Weekday</v>
      </c>
      <c r="M538">
        <v>2</v>
      </c>
      <c r="N538" t="str" cm="1">
        <f t="array" ref="N538">_xlfn.IFS(M538=1,"Sunny Day",M538=2,"Cloudy Day",M538=3,"Rainy Day",M538=4,"Heavy Rain")</f>
        <v>Cloudy Day</v>
      </c>
      <c r="O538">
        <v>0.12</v>
      </c>
      <c r="P538">
        <v>0.13639999999999999</v>
      </c>
      <c r="Q538">
        <v>0.42</v>
      </c>
      <c r="R538">
        <v>0.19400000000000001</v>
      </c>
      <c r="S538">
        <v>11</v>
      </c>
      <c r="T538">
        <v>52</v>
      </c>
      <c r="U538">
        <v>63</v>
      </c>
    </row>
    <row r="539" spans="1:21" x14ac:dyDescent="0.3">
      <c r="A539">
        <v>538</v>
      </c>
      <c r="B539" t="s">
        <v>51</v>
      </c>
      <c r="C539" t="str">
        <f t="shared" si="33"/>
        <v>24-Jan-2011</v>
      </c>
      <c r="D539">
        <v>1</v>
      </c>
      <c r="E539">
        <v>0</v>
      </c>
      <c r="F539">
        <v>1</v>
      </c>
      <c r="G539" t="str">
        <f t="shared" si="32"/>
        <v>Jan</v>
      </c>
      <c r="H539">
        <v>13</v>
      </c>
      <c r="I539">
        <f t="shared" si="34"/>
        <v>1</v>
      </c>
      <c r="J539" t="s">
        <v>126</v>
      </c>
      <c r="K539">
        <v>1</v>
      </c>
      <c r="L539" t="str">
        <f t="shared" si="35"/>
        <v>Weekday</v>
      </c>
      <c r="M539">
        <v>2</v>
      </c>
      <c r="N539" t="str" cm="1">
        <f t="array" ref="N539">_xlfn.IFS(M539=1,"Sunny Day",M539=2,"Cloudy Day",M539=3,"Rainy Day",M539=4,"Heavy Rain")</f>
        <v>Cloudy Day</v>
      </c>
      <c r="O539">
        <v>0.14000000000000001</v>
      </c>
      <c r="P539">
        <v>0.13639999999999999</v>
      </c>
      <c r="Q539">
        <v>0.43</v>
      </c>
      <c r="R539">
        <v>0.22389999999999999</v>
      </c>
      <c r="S539">
        <v>6</v>
      </c>
      <c r="T539">
        <v>54</v>
      </c>
      <c r="U539">
        <v>60</v>
      </c>
    </row>
    <row r="540" spans="1:21" x14ac:dyDescent="0.3">
      <c r="A540">
        <v>539</v>
      </c>
      <c r="B540" t="s">
        <v>51</v>
      </c>
      <c r="C540" t="str">
        <f t="shared" si="33"/>
        <v>24-Jan-2011</v>
      </c>
      <c r="D540">
        <v>1</v>
      </c>
      <c r="E540">
        <v>0</v>
      </c>
      <c r="F540">
        <v>1</v>
      </c>
      <c r="G540" t="str">
        <f t="shared" si="32"/>
        <v>Jan</v>
      </c>
      <c r="H540">
        <v>14</v>
      </c>
      <c r="I540">
        <f t="shared" si="34"/>
        <v>1</v>
      </c>
      <c r="J540" t="s">
        <v>126</v>
      </c>
      <c r="K540">
        <v>1</v>
      </c>
      <c r="L540" t="str">
        <f t="shared" si="35"/>
        <v>Weekday</v>
      </c>
      <c r="M540">
        <v>2</v>
      </c>
      <c r="N540" t="str" cm="1">
        <f t="array" ref="N540">_xlfn.IFS(M540=1,"Sunny Day",M540=2,"Cloudy Day",M540=3,"Rainy Day",M540=4,"Heavy Rain")</f>
        <v>Cloudy Day</v>
      </c>
      <c r="O540">
        <v>0.14000000000000001</v>
      </c>
      <c r="P540">
        <v>0.13639999999999999</v>
      </c>
      <c r="Q540">
        <v>0.46</v>
      </c>
      <c r="R540">
        <v>0.22389999999999999</v>
      </c>
      <c r="S540">
        <v>2</v>
      </c>
      <c r="T540">
        <v>43</v>
      </c>
      <c r="U540">
        <v>45</v>
      </c>
    </row>
    <row r="541" spans="1:21" x14ac:dyDescent="0.3">
      <c r="A541">
        <v>540</v>
      </c>
      <c r="B541" t="s">
        <v>51</v>
      </c>
      <c r="C541" t="str">
        <f t="shared" si="33"/>
        <v>24-Jan-2011</v>
      </c>
      <c r="D541">
        <v>1</v>
      </c>
      <c r="E541">
        <v>0</v>
      </c>
      <c r="F541">
        <v>1</v>
      </c>
      <c r="G541" t="str">
        <f t="shared" si="32"/>
        <v>Jan</v>
      </c>
      <c r="H541">
        <v>15</v>
      </c>
      <c r="I541">
        <f t="shared" si="34"/>
        <v>1</v>
      </c>
      <c r="J541" t="s">
        <v>126</v>
      </c>
      <c r="K541">
        <v>1</v>
      </c>
      <c r="L541" t="str">
        <f t="shared" si="35"/>
        <v>Weekday</v>
      </c>
      <c r="M541">
        <v>1</v>
      </c>
      <c r="N541" t="str" cm="1">
        <f t="array" ref="N541">_xlfn.IFS(M541=1,"Sunny Day",M541=2,"Cloudy Day",M541=3,"Rainy Day",M541=4,"Heavy Rain")</f>
        <v>Sunny Day</v>
      </c>
      <c r="O541">
        <v>0.16</v>
      </c>
      <c r="P541">
        <v>0.16669999999999999</v>
      </c>
      <c r="Q541">
        <v>0.4</v>
      </c>
      <c r="R541">
        <v>0.16420000000000001</v>
      </c>
      <c r="S541">
        <v>7</v>
      </c>
      <c r="T541">
        <v>50</v>
      </c>
      <c r="U541">
        <v>57</v>
      </c>
    </row>
    <row r="542" spans="1:21" x14ac:dyDescent="0.3">
      <c r="A542">
        <v>541</v>
      </c>
      <c r="B542" t="s">
        <v>51</v>
      </c>
      <c r="C542" t="str">
        <f t="shared" si="33"/>
        <v>24-Jan-2011</v>
      </c>
      <c r="D542">
        <v>1</v>
      </c>
      <c r="E542">
        <v>0</v>
      </c>
      <c r="F542">
        <v>1</v>
      </c>
      <c r="G542" t="str">
        <f t="shared" si="32"/>
        <v>Jan</v>
      </c>
      <c r="H542">
        <v>16</v>
      </c>
      <c r="I542">
        <f t="shared" si="34"/>
        <v>1</v>
      </c>
      <c r="J542" t="s">
        <v>126</v>
      </c>
      <c r="K542">
        <v>1</v>
      </c>
      <c r="L542" t="str">
        <f t="shared" si="35"/>
        <v>Weekday</v>
      </c>
      <c r="M542">
        <v>1</v>
      </c>
      <c r="N542" t="str" cm="1">
        <f t="array" ref="N542">_xlfn.IFS(M542=1,"Sunny Day",M542=2,"Cloudy Day",M542=3,"Rainy Day",M542=4,"Heavy Rain")</f>
        <v>Sunny Day</v>
      </c>
      <c r="O542">
        <v>0.16</v>
      </c>
      <c r="P542">
        <v>0.1515</v>
      </c>
      <c r="Q542">
        <v>0.47</v>
      </c>
      <c r="R542">
        <v>0.25369999999999998</v>
      </c>
      <c r="S542">
        <v>4</v>
      </c>
      <c r="T542">
        <v>66</v>
      </c>
      <c r="U542">
        <v>70</v>
      </c>
    </row>
    <row r="543" spans="1:21" x14ac:dyDescent="0.3">
      <c r="A543">
        <v>542</v>
      </c>
      <c r="B543" t="s">
        <v>51</v>
      </c>
      <c r="C543" t="str">
        <f t="shared" si="33"/>
        <v>24-Jan-2011</v>
      </c>
      <c r="D543">
        <v>1</v>
      </c>
      <c r="E543">
        <v>0</v>
      </c>
      <c r="F543">
        <v>1</v>
      </c>
      <c r="G543" t="str">
        <f t="shared" si="32"/>
        <v>Jan</v>
      </c>
      <c r="H543">
        <v>17</v>
      </c>
      <c r="I543">
        <f t="shared" si="34"/>
        <v>1</v>
      </c>
      <c r="J543" t="s">
        <v>126</v>
      </c>
      <c r="K543">
        <v>1</v>
      </c>
      <c r="L543" t="str">
        <f t="shared" si="35"/>
        <v>Weekday</v>
      </c>
      <c r="M543">
        <v>1</v>
      </c>
      <c r="N543" t="str" cm="1">
        <f t="array" ref="N543">_xlfn.IFS(M543=1,"Sunny Day",M543=2,"Cloudy Day",M543=3,"Rainy Day",M543=4,"Heavy Rain")</f>
        <v>Sunny Day</v>
      </c>
      <c r="O543">
        <v>0.14000000000000001</v>
      </c>
      <c r="P543">
        <v>0.1212</v>
      </c>
      <c r="Q543">
        <v>0.5</v>
      </c>
      <c r="R543">
        <v>0.25369999999999998</v>
      </c>
      <c r="S543">
        <v>6</v>
      </c>
      <c r="T543">
        <v>178</v>
      </c>
      <c r="U543">
        <v>184</v>
      </c>
    </row>
    <row r="544" spans="1:21" x14ac:dyDescent="0.3">
      <c r="A544">
        <v>543</v>
      </c>
      <c r="B544" t="s">
        <v>51</v>
      </c>
      <c r="C544" t="str">
        <f t="shared" si="33"/>
        <v>24-Jan-2011</v>
      </c>
      <c r="D544">
        <v>1</v>
      </c>
      <c r="E544">
        <v>0</v>
      </c>
      <c r="F544">
        <v>1</v>
      </c>
      <c r="G544" t="str">
        <f t="shared" si="32"/>
        <v>Jan</v>
      </c>
      <c r="H544">
        <v>18</v>
      </c>
      <c r="I544">
        <f t="shared" si="34"/>
        <v>1</v>
      </c>
      <c r="J544" t="s">
        <v>126</v>
      </c>
      <c r="K544">
        <v>1</v>
      </c>
      <c r="L544" t="str">
        <f t="shared" si="35"/>
        <v>Weekday</v>
      </c>
      <c r="M544">
        <v>1</v>
      </c>
      <c r="N544" t="str" cm="1">
        <f t="array" ref="N544">_xlfn.IFS(M544=1,"Sunny Day",M544=2,"Cloudy Day",M544=3,"Rainy Day",M544=4,"Heavy Rain")</f>
        <v>Sunny Day</v>
      </c>
      <c r="O544">
        <v>0.14000000000000001</v>
      </c>
      <c r="P544">
        <v>0.13639999999999999</v>
      </c>
      <c r="Q544">
        <v>0.59</v>
      </c>
      <c r="R544">
        <v>0.19400000000000001</v>
      </c>
      <c r="S544">
        <v>8</v>
      </c>
      <c r="T544">
        <v>145</v>
      </c>
      <c r="U544">
        <v>153</v>
      </c>
    </row>
    <row r="545" spans="1:21" x14ac:dyDescent="0.3">
      <c r="A545">
        <v>544</v>
      </c>
      <c r="B545" t="s">
        <v>51</v>
      </c>
      <c r="C545" t="str">
        <f t="shared" si="33"/>
        <v>24-Jan-2011</v>
      </c>
      <c r="D545">
        <v>1</v>
      </c>
      <c r="E545">
        <v>0</v>
      </c>
      <c r="F545">
        <v>1</v>
      </c>
      <c r="G545" t="str">
        <f t="shared" si="32"/>
        <v>Jan</v>
      </c>
      <c r="H545">
        <v>19</v>
      </c>
      <c r="I545">
        <f t="shared" si="34"/>
        <v>1</v>
      </c>
      <c r="J545" t="s">
        <v>126</v>
      </c>
      <c r="K545">
        <v>1</v>
      </c>
      <c r="L545" t="str">
        <f t="shared" si="35"/>
        <v>Weekday</v>
      </c>
      <c r="M545">
        <v>1</v>
      </c>
      <c r="N545" t="str" cm="1">
        <f t="array" ref="N545">_xlfn.IFS(M545=1,"Sunny Day",M545=2,"Cloudy Day",M545=3,"Rainy Day",M545=4,"Heavy Rain")</f>
        <v>Sunny Day</v>
      </c>
      <c r="O545">
        <v>0.14000000000000001</v>
      </c>
      <c r="P545">
        <v>0.1515</v>
      </c>
      <c r="Q545">
        <v>0.54</v>
      </c>
      <c r="R545">
        <v>0.16420000000000001</v>
      </c>
      <c r="S545">
        <v>5</v>
      </c>
      <c r="T545">
        <v>101</v>
      </c>
      <c r="U545">
        <v>106</v>
      </c>
    </row>
    <row r="546" spans="1:21" x14ac:dyDescent="0.3">
      <c r="A546">
        <v>545</v>
      </c>
      <c r="B546" t="s">
        <v>51</v>
      </c>
      <c r="C546" t="str">
        <f t="shared" si="33"/>
        <v>24-Jan-2011</v>
      </c>
      <c r="D546">
        <v>1</v>
      </c>
      <c r="E546">
        <v>0</v>
      </c>
      <c r="F546">
        <v>1</v>
      </c>
      <c r="G546" t="str">
        <f t="shared" si="32"/>
        <v>Jan</v>
      </c>
      <c r="H546">
        <v>20</v>
      </c>
      <c r="I546">
        <f t="shared" si="34"/>
        <v>1</v>
      </c>
      <c r="J546" t="s">
        <v>126</v>
      </c>
      <c r="K546">
        <v>1</v>
      </c>
      <c r="L546" t="str">
        <f t="shared" si="35"/>
        <v>Weekday</v>
      </c>
      <c r="M546">
        <v>1</v>
      </c>
      <c r="N546" t="str" cm="1">
        <f t="array" ref="N546">_xlfn.IFS(M546=1,"Sunny Day",M546=2,"Cloudy Day",M546=3,"Rainy Day",M546=4,"Heavy Rain")</f>
        <v>Sunny Day</v>
      </c>
      <c r="O546">
        <v>0.14000000000000001</v>
      </c>
      <c r="P546">
        <v>0.13639999999999999</v>
      </c>
      <c r="Q546">
        <v>0.59</v>
      </c>
      <c r="R546">
        <v>0.19400000000000001</v>
      </c>
      <c r="S546">
        <v>1</v>
      </c>
      <c r="T546">
        <v>80</v>
      </c>
      <c r="U546">
        <v>81</v>
      </c>
    </row>
    <row r="547" spans="1:21" x14ac:dyDescent="0.3">
      <c r="A547">
        <v>546</v>
      </c>
      <c r="B547" t="s">
        <v>51</v>
      </c>
      <c r="C547" t="str">
        <f t="shared" si="33"/>
        <v>24-Jan-2011</v>
      </c>
      <c r="D547">
        <v>1</v>
      </c>
      <c r="E547">
        <v>0</v>
      </c>
      <c r="F547">
        <v>1</v>
      </c>
      <c r="G547" t="str">
        <f t="shared" si="32"/>
        <v>Jan</v>
      </c>
      <c r="H547">
        <v>21</v>
      </c>
      <c r="I547">
        <f t="shared" si="34"/>
        <v>1</v>
      </c>
      <c r="J547" t="s">
        <v>126</v>
      </c>
      <c r="K547">
        <v>1</v>
      </c>
      <c r="L547" t="str">
        <f t="shared" si="35"/>
        <v>Weekday</v>
      </c>
      <c r="M547">
        <v>1</v>
      </c>
      <c r="N547" t="str" cm="1">
        <f t="array" ref="N547">_xlfn.IFS(M547=1,"Sunny Day",M547=2,"Cloudy Day",M547=3,"Rainy Day",M547=4,"Heavy Rain")</f>
        <v>Sunny Day</v>
      </c>
      <c r="O547">
        <v>0.14000000000000001</v>
      </c>
      <c r="P547">
        <v>0.1515</v>
      </c>
      <c r="Q547">
        <v>0.63</v>
      </c>
      <c r="R547">
        <v>0.16420000000000001</v>
      </c>
      <c r="S547">
        <v>6</v>
      </c>
      <c r="T547">
        <v>53</v>
      </c>
      <c r="U547">
        <v>59</v>
      </c>
    </row>
    <row r="548" spans="1:21" x14ac:dyDescent="0.3">
      <c r="A548">
        <v>547</v>
      </c>
      <c r="B548" t="s">
        <v>51</v>
      </c>
      <c r="C548" t="str">
        <f t="shared" si="33"/>
        <v>24-Jan-2011</v>
      </c>
      <c r="D548">
        <v>1</v>
      </c>
      <c r="E548">
        <v>0</v>
      </c>
      <c r="F548">
        <v>1</v>
      </c>
      <c r="G548" t="str">
        <f t="shared" si="32"/>
        <v>Jan</v>
      </c>
      <c r="H548">
        <v>22</v>
      </c>
      <c r="I548">
        <f t="shared" si="34"/>
        <v>1</v>
      </c>
      <c r="J548" t="s">
        <v>126</v>
      </c>
      <c r="K548">
        <v>1</v>
      </c>
      <c r="L548" t="str">
        <f t="shared" si="35"/>
        <v>Weekday</v>
      </c>
      <c r="M548">
        <v>2</v>
      </c>
      <c r="N548" t="str" cm="1">
        <f t="array" ref="N548">_xlfn.IFS(M548=1,"Sunny Day",M548=2,"Cloudy Day",M548=3,"Rainy Day",M548=4,"Heavy Rain")</f>
        <v>Cloudy Day</v>
      </c>
      <c r="O548">
        <v>0.14000000000000001</v>
      </c>
      <c r="P548">
        <v>0.13639999999999999</v>
      </c>
      <c r="Q548">
        <v>0.63</v>
      </c>
      <c r="R548">
        <v>0.22389999999999999</v>
      </c>
      <c r="S548">
        <v>3</v>
      </c>
      <c r="T548">
        <v>32</v>
      </c>
      <c r="U548">
        <v>35</v>
      </c>
    </row>
    <row r="549" spans="1:21" x14ac:dyDescent="0.3">
      <c r="A549">
        <v>548</v>
      </c>
      <c r="B549" t="s">
        <v>51</v>
      </c>
      <c r="C549" t="str">
        <f t="shared" si="33"/>
        <v>24-Jan-2011</v>
      </c>
      <c r="D549">
        <v>1</v>
      </c>
      <c r="E549">
        <v>0</v>
      </c>
      <c r="F549">
        <v>1</v>
      </c>
      <c r="G549" t="str">
        <f t="shared" si="32"/>
        <v>Jan</v>
      </c>
      <c r="H549">
        <v>23</v>
      </c>
      <c r="I549">
        <f t="shared" si="34"/>
        <v>1</v>
      </c>
      <c r="J549" t="s">
        <v>126</v>
      </c>
      <c r="K549">
        <v>1</v>
      </c>
      <c r="L549" t="str">
        <f t="shared" si="35"/>
        <v>Weekday</v>
      </c>
      <c r="M549">
        <v>2</v>
      </c>
      <c r="N549" t="str" cm="1">
        <f t="array" ref="N549">_xlfn.IFS(M549=1,"Sunny Day",M549=2,"Cloudy Day",M549=3,"Rainy Day",M549=4,"Heavy Rain")</f>
        <v>Cloudy Day</v>
      </c>
      <c r="O549">
        <v>0.16</v>
      </c>
      <c r="P549">
        <v>0.1515</v>
      </c>
      <c r="Q549">
        <v>0.64</v>
      </c>
      <c r="R549">
        <v>0.25369999999999998</v>
      </c>
      <c r="S549">
        <v>3</v>
      </c>
      <c r="T549">
        <v>21</v>
      </c>
      <c r="U549">
        <v>24</v>
      </c>
    </row>
    <row r="550" spans="1:21" x14ac:dyDescent="0.3">
      <c r="A550">
        <v>549</v>
      </c>
      <c r="B550" t="s">
        <v>53</v>
      </c>
      <c r="C550" t="str">
        <f t="shared" si="33"/>
        <v>25-Jan-2011</v>
      </c>
      <c r="D550">
        <v>1</v>
      </c>
      <c r="E550">
        <v>0</v>
      </c>
      <c r="F550">
        <v>1</v>
      </c>
      <c r="G550" t="str">
        <f t="shared" si="32"/>
        <v>Jan</v>
      </c>
      <c r="H550">
        <v>0</v>
      </c>
      <c r="I550">
        <f t="shared" si="34"/>
        <v>0</v>
      </c>
      <c r="J550" t="s">
        <v>126</v>
      </c>
      <c r="K550">
        <v>2</v>
      </c>
      <c r="L550" t="str">
        <f t="shared" si="35"/>
        <v>Weekday</v>
      </c>
      <c r="M550">
        <v>2</v>
      </c>
      <c r="N550" t="str" cm="1">
        <f t="array" ref="N550">_xlfn.IFS(M550=1,"Sunny Day",M550=2,"Cloudy Day",M550=3,"Rainy Day",M550=4,"Heavy Rain")</f>
        <v>Cloudy Day</v>
      </c>
      <c r="O550">
        <v>0.16</v>
      </c>
      <c r="P550">
        <v>0.13639999999999999</v>
      </c>
      <c r="Q550">
        <v>0.69</v>
      </c>
      <c r="R550">
        <v>0.28360000000000002</v>
      </c>
      <c r="S550">
        <v>3</v>
      </c>
      <c r="T550">
        <v>6</v>
      </c>
      <c r="U550">
        <v>9</v>
      </c>
    </row>
    <row r="551" spans="1:21" x14ac:dyDescent="0.3">
      <c r="A551">
        <v>550</v>
      </c>
      <c r="B551" t="s">
        <v>53</v>
      </c>
      <c r="C551" t="str">
        <f t="shared" si="33"/>
        <v>25-Jan-2011</v>
      </c>
      <c r="D551">
        <v>1</v>
      </c>
      <c r="E551">
        <v>0</v>
      </c>
      <c r="F551">
        <v>1</v>
      </c>
      <c r="G551" t="str">
        <f t="shared" si="32"/>
        <v>Jan</v>
      </c>
      <c r="H551">
        <v>1</v>
      </c>
      <c r="I551">
        <f t="shared" si="34"/>
        <v>0</v>
      </c>
      <c r="J551" t="s">
        <v>126</v>
      </c>
      <c r="K551">
        <v>2</v>
      </c>
      <c r="L551" t="str">
        <f t="shared" si="35"/>
        <v>Weekday</v>
      </c>
      <c r="M551">
        <v>2</v>
      </c>
      <c r="N551" t="str" cm="1">
        <f t="array" ref="N551">_xlfn.IFS(M551=1,"Sunny Day",M551=2,"Cloudy Day",M551=3,"Rainy Day",M551=4,"Heavy Rain")</f>
        <v>Cloudy Day</v>
      </c>
      <c r="O551">
        <v>0.16</v>
      </c>
      <c r="P551">
        <v>0.16669999999999999</v>
      </c>
      <c r="Q551">
        <v>0.69</v>
      </c>
      <c r="R551">
        <v>0.16420000000000001</v>
      </c>
      <c r="S551">
        <v>0</v>
      </c>
      <c r="T551">
        <v>5</v>
      </c>
      <c r="U551">
        <v>5</v>
      </c>
    </row>
    <row r="552" spans="1:21" x14ac:dyDescent="0.3">
      <c r="A552">
        <v>551</v>
      </c>
      <c r="B552" t="s">
        <v>53</v>
      </c>
      <c r="C552" t="str">
        <f t="shared" si="33"/>
        <v>25-Jan-2011</v>
      </c>
      <c r="D552">
        <v>1</v>
      </c>
      <c r="E552">
        <v>0</v>
      </c>
      <c r="F552">
        <v>1</v>
      </c>
      <c r="G552" t="str">
        <f t="shared" si="32"/>
        <v>Jan</v>
      </c>
      <c r="H552">
        <v>2</v>
      </c>
      <c r="I552">
        <f t="shared" si="34"/>
        <v>0</v>
      </c>
      <c r="J552" t="s">
        <v>126</v>
      </c>
      <c r="K552">
        <v>2</v>
      </c>
      <c r="L552" t="str">
        <f t="shared" si="35"/>
        <v>Weekday</v>
      </c>
      <c r="M552">
        <v>1</v>
      </c>
      <c r="N552" t="str" cm="1">
        <f t="array" ref="N552">_xlfn.IFS(M552=1,"Sunny Day",M552=2,"Cloudy Day",M552=3,"Rainy Day",M552=4,"Heavy Rain")</f>
        <v>Sunny Day</v>
      </c>
      <c r="O552">
        <v>0.16</v>
      </c>
      <c r="P552">
        <v>0.1515</v>
      </c>
      <c r="Q552">
        <v>0.69</v>
      </c>
      <c r="R552">
        <v>0.22389999999999999</v>
      </c>
      <c r="S552">
        <v>0</v>
      </c>
      <c r="T552">
        <v>2</v>
      </c>
      <c r="U552">
        <v>2</v>
      </c>
    </row>
    <row r="553" spans="1:21" x14ac:dyDescent="0.3">
      <c r="A553">
        <v>552</v>
      </c>
      <c r="B553" t="s">
        <v>53</v>
      </c>
      <c r="C553" t="str">
        <f t="shared" si="33"/>
        <v>25-Jan-2011</v>
      </c>
      <c r="D553">
        <v>1</v>
      </c>
      <c r="E553">
        <v>0</v>
      </c>
      <c r="F553">
        <v>1</v>
      </c>
      <c r="G553" t="str">
        <f t="shared" si="32"/>
        <v>Jan</v>
      </c>
      <c r="H553">
        <v>4</v>
      </c>
      <c r="I553">
        <f t="shared" si="34"/>
        <v>0</v>
      </c>
      <c r="J553" t="s">
        <v>126</v>
      </c>
      <c r="K553">
        <v>2</v>
      </c>
      <c r="L553" t="str">
        <f t="shared" si="35"/>
        <v>Weekday</v>
      </c>
      <c r="M553">
        <v>1</v>
      </c>
      <c r="N553" t="str" cm="1">
        <f t="array" ref="N553">_xlfn.IFS(M553=1,"Sunny Day",M553=2,"Cloudy Day",M553=3,"Rainy Day",M553=4,"Heavy Rain")</f>
        <v>Sunny Day</v>
      </c>
      <c r="O553">
        <v>0.14000000000000001</v>
      </c>
      <c r="P553">
        <v>0.16669999999999999</v>
      </c>
      <c r="Q553">
        <v>0.74</v>
      </c>
      <c r="R553">
        <v>0.1045</v>
      </c>
      <c r="S553">
        <v>0</v>
      </c>
      <c r="T553">
        <v>1</v>
      </c>
      <c r="U553">
        <v>1</v>
      </c>
    </row>
    <row r="554" spans="1:21" x14ac:dyDescent="0.3">
      <c r="A554">
        <v>553</v>
      </c>
      <c r="B554" t="s">
        <v>53</v>
      </c>
      <c r="C554" t="str">
        <f t="shared" si="33"/>
        <v>25-Jan-2011</v>
      </c>
      <c r="D554">
        <v>1</v>
      </c>
      <c r="E554">
        <v>0</v>
      </c>
      <c r="F554">
        <v>1</v>
      </c>
      <c r="G554" t="str">
        <f t="shared" si="32"/>
        <v>Jan</v>
      </c>
      <c r="H554">
        <v>5</v>
      </c>
      <c r="I554">
        <f t="shared" si="34"/>
        <v>0</v>
      </c>
      <c r="J554" t="s">
        <v>126</v>
      </c>
      <c r="K554">
        <v>2</v>
      </c>
      <c r="L554" t="str">
        <f t="shared" si="35"/>
        <v>Weekday</v>
      </c>
      <c r="M554">
        <v>1</v>
      </c>
      <c r="N554" t="str" cm="1">
        <f t="array" ref="N554">_xlfn.IFS(M554=1,"Sunny Day",M554=2,"Cloudy Day",M554=3,"Rainy Day",M554=4,"Heavy Rain")</f>
        <v>Sunny Day</v>
      </c>
      <c r="O554">
        <v>0.14000000000000001</v>
      </c>
      <c r="P554">
        <v>0.13639999999999999</v>
      </c>
      <c r="Q554">
        <v>0.74</v>
      </c>
      <c r="R554">
        <v>0.22389999999999999</v>
      </c>
      <c r="S554">
        <v>0</v>
      </c>
      <c r="T554">
        <v>9</v>
      </c>
      <c r="U554">
        <v>9</v>
      </c>
    </row>
    <row r="555" spans="1:21" x14ac:dyDescent="0.3">
      <c r="A555">
        <v>554</v>
      </c>
      <c r="B555" t="s">
        <v>53</v>
      </c>
      <c r="C555" t="str">
        <f t="shared" si="33"/>
        <v>25-Jan-2011</v>
      </c>
      <c r="D555">
        <v>1</v>
      </c>
      <c r="E555">
        <v>0</v>
      </c>
      <c r="F555">
        <v>1</v>
      </c>
      <c r="G555" t="str">
        <f t="shared" si="32"/>
        <v>Jan</v>
      </c>
      <c r="H555">
        <v>6</v>
      </c>
      <c r="I555">
        <f t="shared" si="34"/>
        <v>0</v>
      </c>
      <c r="J555" t="s">
        <v>126</v>
      </c>
      <c r="K555">
        <v>2</v>
      </c>
      <c r="L555" t="str">
        <f t="shared" si="35"/>
        <v>Weekday</v>
      </c>
      <c r="M555">
        <v>1</v>
      </c>
      <c r="N555" t="str" cm="1">
        <f t="array" ref="N555">_xlfn.IFS(M555=1,"Sunny Day",M555=2,"Cloudy Day",M555=3,"Rainy Day",M555=4,"Heavy Rain")</f>
        <v>Sunny Day</v>
      </c>
      <c r="O555">
        <v>0.16</v>
      </c>
      <c r="P555">
        <v>0.18179999999999999</v>
      </c>
      <c r="Q555">
        <v>0.74</v>
      </c>
      <c r="R555">
        <v>0.1045</v>
      </c>
      <c r="S555">
        <v>1</v>
      </c>
      <c r="T555">
        <v>35</v>
      </c>
      <c r="U555">
        <v>36</v>
      </c>
    </row>
    <row r="556" spans="1:21" x14ac:dyDescent="0.3">
      <c r="A556">
        <v>555</v>
      </c>
      <c r="B556" t="s">
        <v>53</v>
      </c>
      <c r="C556" t="str">
        <f t="shared" si="33"/>
        <v>25-Jan-2011</v>
      </c>
      <c r="D556">
        <v>1</v>
      </c>
      <c r="E556">
        <v>0</v>
      </c>
      <c r="F556">
        <v>1</v>
      </c>
      <c r="G556" t="str">
        <f t="shared" si="32"/>
        <v>Jan</v>
      </c>
      <c r="H556">
        <v>7</v>
      </c>
      <c r="I556">
        <f t="shared" si="34"/>
        <v>0</v>
      </c>
      <c r="J556" t="s">
        <v>126</v>
      </c>
      <c r="K556">
        <v>2</v>
      </c>
      <c r="L556" t="str">
        <f t="shared" si="35"/>
        <v>Weekday</v>
      </c>
      <c r="M556">
        <v>1</v>
      </c>
      <c r="N556" t="str" cm="1">
        <f t="array" ref="N556">_xlfn.IFS(M556=1,"Sunny Day",M556=2,"Cloudy Day",M556=3,"Rainy Day",M556=4,"Heavy Rain")</f>
        <v>Sunny Day</v>
      </c>
      <c r="O556">
        <v>0.16</v>
      </c>
      <c r="P556">
        <v>0.1515</v>
      </c>
      <c r="Q556">
        <v>0.74</v>
      </c>
      <c r="R556">
        <v>0.22389999999999999</v>
      </c>
      <c r="S556">
        <v>5</v>
      </c>
      <c r="T556">
        <v>103</v>
      </c>
      <c r="U556">
        <v>108</v>
      </c>
    </row>
    <row r="557" spans="1:21" x14ac:dyDescent="0.3">
      <c r="A557">
        <v>556</v>
      </c>
      <c r="B557" t="s">
        <v>53</v>
      </c>
      <c r="C557" t="str">
        <f t="shared" si="33"/>
        <v>25-Jan-2011</v>
      </c>
      <c r="D557">
        <v>1</v>
      </c>
      <c r="E557">
        <v>0</v>
      </c>
      <c r="F557">
        <v>1</v>
      </c>
      <c r="G557" t="str">
        <f t="shared" si="32"/>
        <v>Jan</v>
      </c>
      <c r="H557">
        <v>8</v>
      </c>
      <c r="I557">
        <f t="shared" si="34"/>
        <v>0</v>
      </c>
      <c r="J557" t="s">
        <v>126</v>
      </c>
      <c r="K557">
        <v>2</v>
      </c>
      <c r="L557" t="str">
        <f t="shared" si="35"/>
        <v>Weekday</v>
      </c>
      <c r="M557">
        <v>2</v>
      </c>
      <c r="N557" t="str" cm="1">
        <f t="array" ref="N557">_xlfn.IFS(M557=1,"Sunny Day",M557=2,"Cloudy Day",M557=3,"Rainy Day",M557=4,"Heavy Rain")</f>
        <v>Cloudy Day</v>
      </c>
      <c r="O557">
        <v>0.16</v>
      </c>
      <c r="P557">
        <v>0.18179999999999999</v>
      </c>
      <c r="Q557">
        <v>0.74</v>
      </c>
      <c r="R557">
        <v>0.1343</v>
      </c>
      <c r="S557">
        <v>5</v>
      </c>
      <c r="T557">
        <v>233</v>
      </c>
      <c r="U557">
        <v>238</v>
      </c>
    </row>
    <row r="558" spans="1:21" x14ac:dyDescent="0.3">
      <c r="A558">
        <v>557</v>
      </c>
      <c r="B558" t="s">
        <v>53</v>
      </c>
      <c r="C558" t="str">
        <f t="shared" si="33"/>
        <v>25-Jan-2011</v>
      </c>
      <c r="D558">
        <v>1</v>
      </c>
      <c r="E558">
        <v>0</v>
      </c>
      <c r="F558">
        <v>1</v>
      </c>
      <c r="G558" t="str">
        <f t="shared" si="32"/>
        <v>Jan</v>
      </c>
      <c r="H558">
        <v>9</v>
      </c>
      <c r="I558">
        <f t="shared" si="34"/>
        <v>0</v>
      </c>
      <c r="J558" t="s">
        <v>126</v>
      </c>
      <c r="K558">
        <v>2</v>
      </c>
      <c r="L558" t="str">
        <f t="shared" si="35"/>
        <v>Weekday</v>
      </c>
      <c r="M558">
        <v>2</v>
      </c>
      <c r="N558" t="str" cm="1">
        <f t="array" ref="N558">_xlfn.IFS(M558=1,"Sunny Day",M558=2,"Cloudy Day",M558=3,"Rainy Day",M558=4,"Heavy Rain")</f>
        <v>Cloudy Day</v>
      </c>
      <c r="O558">
        <v>0.2</v>
      </c>
      <c r="P558">
        <v>0.2273</v>
      </c>
      <c r="Q558">
        <v>0.64</v>
      </c>
      <c r="R558">
        <v>8.9599999999999999E-2</v>
      </c>
      <c r="S558">
        <v>10</v>
      </c>
      <c r="T558">
        <v>134</v>
      </c>
      <c r="U558">
        <v>144</v>
      </c>
    </row>
    <row r="559" spans="1:21" x14ac:dyDescent="0.3">
      <c r="A559">
        <v>558</v>
      </c>
      <c r="B559" t="s">
        <v>53</v>
      </c>
      <c r="C559" t="str">
        <f t="shared" si="33"/>
        <v>25-Jan-2011</v>
      </c>
      <c r="D559">
        <v>1</v>
      </c>
      <c r="E559">
        <v>0</v>
      </c>
      <c r="F559">
        <v>1</v>
      </c>
      <c r="G559" t="str">
        <f t="shared" si="32"/>
        <v>Jan</v>
      </c>
      <c r="H559">
        <v>10</v>
      </c>
      <c r="I559">
        <f t="shared" si="34"/>
        <v>0</v>
      </c>
      <c r="J559" t="s">
        <v>126</v>
      </c>
      <c r="K559">
        <v>2</v>
      </c>
      <c r="L559" t="str">
        <f t="shared" si="35"/>
        <v>Weekday</v>
      </c>
      <c r="M559">
        <v>2</v>
      </c>
      <c r="N559" t="str" cm="1">
        <f t="array" ref="N559">_xlfn.IFS(M559=1,"Sunny Day",M559=2,"Cloudy Day",M559=3,"Rainy Day",M559=4,"Heavy Rain")</f>
        <v>Cloudy Day</v>
      </c>
      <c r="O559">
        <v>0.22</v>
      </c>
      <c r="P559">
        <v>0.2424</v>
      </c>
      <c r="Q559">
        <v>0.6</v>
      </c>
      <c r="R559">
        <v>0.1045</v>
      </c>
      <c r="S559">
        <v>6</v>
      </c>
      <c r="T559">
        <v>49</v>
      </c>
      <c r="U559">
        <v>55</v>
      </c>
    </row>
    <row r="560" spans="1:21" x14ac:dyDescent="0.3">
      <c r="A560">
        <v>559</v>
      </c>
      <c r="B560" t="s">
        <v>53</v>
      </c>
      <c r="C560" t="str">
        <f t="shared" si="33"/>
        <v>25-Jan-2011</v>
      </c>
      <c r="D560">
        <v>1</v>
      </c>
      <c r="E560">
        <v>0</v>
      </c>
      <c r="F560">
        <v>1</v>
      </c>
      <c r="G560" t="str">
        <f t="shared" si="32"/>
        <v>Jan</v>
      </c>
      <c r="H560">
        <v>11</v>
      </c>
      <c r="I560">
        <f t="shared" si="34"/>
        <v>1</v>
      </c>
      <c r="J560" t="s">
        <v>126</v>
      </c>
      <c r="K560">
        <v>2</v>
      </c>
      <c r="L560" t="str">
        <f t="shared" si="35"/>
        <v>Weekday</v>
      </c>
      <c r="M560">
        <v>2</v>
      </c>
      <c r="N560" t="str" cm="1">
        <f t="array" ref="N560">_xlfn.IFS(M560=1,"Sunny Day",M560=2,"Cloudy Day",M560=3,"Rainy Day",M560=4,"Heavy Rain")</f>
        <v>Cloudy Day</v>
      </c>
      <c r="O560">
        <v>0.24</v>
      </c>
      <c r="P560">
        <v>0.2424</v>
      </c>
      <c r="Q560">
        <v>0.6</v>
      </c>
      <c r="R560">
        <v>0.1343</v>
      </c>
      <c r="S560">
        <v>6</v>
      </c>
      <c r="T560">
        <v>55</v>
      </c>
      <c r="U560">
        <v>61</v>
      </c>
    </row>
    <row r="561" spans="1:21" x14ac:dyDescent="0.3">
      <c r="A561">
        <v>560</v>
      </c>
      <c r="B561" t="s">
        <v>53</v>
      </c>
      <c r="C561" t="str">
        <f t="shared" si="33"/>
        <v>25-Jan-2011</v>
      </c>
      <c r="D561">
        <v>1</v>
      </c>
      <c r="E561">
        <v>0</v>
      </c>
      <c r="F561">
        <v>1</v>
      </c>
      <c r="G561" t="str">
        <f t="shared" si="32"/>
        <v>Jan</v>
      </c>
      <c r="H561">
        <v>12</v>
      </c>
      <c r="I561">
        <f t="shared" si="34"/>
        <v>1</v>
      </c>
      <c r="J561" t="s">
        <v>126</v>
      </c>
      <c r="K561">
        <v>2</v>
      </c>
      <c r="L561" t="str">
        <f t="shared" si="35"/>
        <v>Weekday</v>
      </c>
      <c r="M561">
        <v>2</v>
      </c>
      <c r="N561" t="str" cm="1">
        <f t="array" ref="N561">_xlfn.IFS(M561=1,"Sunny Day",M561=2,"Cloudy Day",M561=3,"Rainy Day",M561=4,"Heavy Rain")</f>
        <v>Cloudy Day</v>
      </c>
      <c r="O561">
        <v>0.26</v>
      </c>
      <c r="P561">
        <v>0.28789999999999999</v>
      </c>
      <c r="Q561">
        <v>0.56000000000000005</v>
      </c>
      <c r="R561">
        <v>8.9599999999999999E-2</v>
      </c>
      <c r="S561">
        <v>21</v>
      </c>
      <c r="T561">
        <v>85</v>
      </c>
      <c r="U561">
        <v>106</v>
      </c>
    </row>
    <row r="562" spans="1:21" x14ac:dyDescent="0.3">
      <c r="A562">
        <v>561</v>
      </c>
      <c r="B562" t="s">
        <v>53</v>
      </c>
      <c r="C562" t="str">
        <f t="shared" si="33"/>
        <v>25-Jan-2011</v>
      </c>
      <c r="D562">
        <v>1</v>
      </c>
      <c r="E562">
        <v>0</v>
      </c>
      <c r="F562">
        <v>1</v>
      </c>
      <c r="G562" t="str">
        <f t="shared" si="32"/>
        <v>Jan</v>
      </c>
      <c r="H562">
        <v>13</v>
      </c>
      <c r="I562">
        <f t="shared" si="34"/>
        <v>1</v>
      </c>
      <c r="J562" t="s">
        <v>126</v>
      </c>
      <c r="K562">
        <v>2</v>
      </c>
      <c r="L562" t="str">
        <f t="shared" si="35"/>
        <v>Weekday</v>
      </c>
      <c r="M562">
        <v>2</v>
      </c>
      <c r="N562" t="str" cm="1">
        <f t="array" ref="N562">_xlfn.IFS(M562=1,"Sunny Day",M562=2,"Cloudy Day",M562=3,"Rainy Day",M562=4,"Heavy Rain")</f>
        <v>Cloudy Day</v>
      </c>
      <c r="O562">
        <v>0.26</v>
      </c>
      <c r="P562">
        <v>0.2727</v>
      </c>
      <c r="Q562">
        <v>0.56000000000000005</v>
      </c>
      <c r="R562">
        <v>0.1343</v>
      </c>
      <c r="S562">
        <v>21</v>
      </c>
      <c r="T562">
        <v>72</v>
      </c>
      <c r="U562">
        <v>93</v>
      </c>
    </row>
    <row r="563" spans="1:21" x14ac:dyDescent="0.3">
      <c r="A563">
        <v>562</v>
      </c>
      <c r="B563" t="s">
        <v>53</v>
      </c>
      <c r="C563" t="str">
        <f t="shared" si="33"/>
        <v>25-Jan-2011</v>
      </c>
      <c r="D563">
        <v>1</v>
      </c>
      <c r="E563">
        <v>0</v>
      </c>
      <c r="F563">
        <v>1</v>
      </c>
      <c r="G563" t="str">
        <f t="shared" si="32"/>
        <v>Jan</v>
      </c>
      <c r="H563">
        <v>14</v>
      </c>
      <c r="I563">
        <f t="shared" si="34"/>
        <v>1</v>
      </c>
      <c r="J563" t="s">
        <v>126</v>
      </c>
      <c r="K563">
        <v>2</v>
      </c>
      <c r="L563" t="str">
        <f t="shared" si="35"/>
        <v>Weekday</v>
      </c>
      <c r="M563">
        <v>2</v>
      </c>
      <c r="N563" t="str" cm="1">
        <f t="array" ref="N563">_xlfn.IFS(M563=1,"Sunny Day",M563=2,"Cloudy Day",M563=3,"Rainy Day",M563=4,"Heavy Rain")</f>
        <v>Cloudy Day</v>
      </c>
      <c r="O563">
        <v>0.3</v>
      </c>
      <c r="P563">
        <v>0.33329999999999999</v>
      </c>
      <c r="Q563">
        <v>0.45</v>
      </c>
      <c r="R563">
        <v>0</v>
      </c>
      <c r="S563">
        <v>11</v>
      </c>
      <c r="T563">
        <v>57</v>
      </c>
      <c r="U563">
        <v>68</v>
      </c>
    </row>
    <row r="564" spans="1:21" x14ac:dyDescent="0.3">
      <c r="A564">
        <v>563</v>
      </c>
      <c r="B564" t="s">
        <v>53</v>
      </c>
      <c r="C564" t="str">
        <f t="shared" si="33"/>
        <v>25-Jan-2011</v>
      </c>
      <c r="D564">
        <v>1</v>
      </c>
      <c r="E564">
        <v>0</v>
      </c>
      <c r="F564">
        <v>1</v>
      </c>
      <c r="G564" t="str">
        <f t="shared" si="32"/>
        <v>Jan</v>
      </c>
      <c r="H564">
        <v>15</v>
      </c>
      <c r="I564">
        <f t="shared" si="34"/>
        <v>1</v>
      </c>
      <c r="J564" t="s">
        <v>126</v>
      </c>
      <c r="K564">
        <v>2</v>
      </c>
      <c r="L564" t="str">
        <f t="shared" si="35"/>
        <v>Weekday</v>
      </c>
      <c r="M564">
        <v>2</v>
      </c>
      <c r="N564" t="str" cm="1">
        <f t="array" ref="N564">_xlfn.IFS(M564=1,"Sunny Day",M564=2,"Cloudy Day",M564=3,"Rainy Day",M564=4,"Heavy Rain")</f>
        <v>Cloudy Day</v>
      </c>
      <c r="O564">
        <v>0.32</v>
      </c>
      <c r="P564">
        <v>0.34849999999999998</v>
      </c>
      <c r="Q564">
        <v>0.42</v>
      </c>
      <c r="R564">
        <v>0</v>
      </c>
      <c r="S564">
        <v>21</v>
      </c>
      <c r="T564">
        <v>63</v>
      </c>
      <c r="U564">
        <v>84</v>
      </c>
    </row>
    <row r="565" spans="1:21" x14ac:dyDescent="0.3">
      <c r="A565">
        <v>564</v>
      </c>
      <c r="B565" t="s">
        <v>53</v>
      </c>
      <c r="C565" t="str">
        <f t="shared" si="33"/>
        <v>25-Jan-2011</v>
      </c>
      <c r="D565">
        <v>1</v>
      </c>
      <c r="E565">
        <v>0</v>
      </c>
      <c r="F565">
        <v>1</v>
      </c>
      <c r="G565" t="str">
        <f t="shared" si="32"/>
        <v>Jan</v>
      </c>
      <c r="H565">
        <v>16</v>
      </c>
      <c r="I565">
        <f t="shared" si="34"/>
        <v>1</v>
      </c>
      <c r="J565" t="s">
        <v>126</v>
      </c>
      <c r="K565">
        <v>2</v>
      </c>
      <c r="L565" t="str">
        <f t="shared" si="35"/>
        <v>Weekday</v>
      </c>
      <c r="M565">
        <v>2</v>
      </c>
      <c r="N565" t="str" cm="1">
        <f t="array" ref="N565">_xlfn.IFS(M565=1,"Sunny Day",M565=2,"Cloudy Day",M565=3,"Rainy Day",M565=4,"Heavy Rain")</f>
        <v>Cloudy Day</v>
      </c>
      <c r="O565">
        <v>0.32</v>
      </c>
      <c r="P565">
        <v>0.34849999999999998</v>
      </c>
      <c r="Q565">
        <v>0.42</v>
      </c>
      <c r="R565">
        <v>0</v>
      </c>
      <c r="S565">
        <v>14</v>
      </c>
      <c r="T565">
        <v>102</v>
      </c>
      <c r="U565">
        <v>116</v>
      </c>
    </row>
    <row r="566" spans="1:21" x14ac:dyDescent="0.3">
      <c r="A566">
        <v>565</v>
      </c>
      <c r="B566" t="s">
        <v>53</v>
      </c>
      <c r="C566" t="str">
        <f t="shared" si="33"/>
        <v>25-Jan-2011</v>
      </c>
      <c r="D566">
        <v>1</v>
      </c>
      <c r="E566">
        <v>0</v>
      </c>
      <c r="F566">
        <v>1</v>
      </c>
      <c r="G566" t="str">
        <f t="shared" si="32"/>
        <v>Jan</v>
      </c>
      <c r="H566">
        <v>17</v>
      </c>
      <c r="I566">
        <f t="shared" si="34"/>
        <v>1</v>
      </c>
      <c r="J566" t="s">
        <v>126</v>
      </c>
      <c r="K566">
        <v>2</v>
      </c>
      <c r="L566" t="str">
        <f t="shared" si="35"/>
        <v>Weekday</v>
      </c>
      <c r="M566">
        <v>1</v>
      </c>
      <c r="N566" t="str" cm="1">
        <f t="array" ref="N566">_xlfn.IFS(M566=1,"Sunny Day",M566=2,"Cloudy Day",M566=3,"Rainy Day",M566=4,"Heavy Rain")</f>
        <v>Sunny Day</v>
      </c>
      <c r="O566">
        <v>0.3</v>
      </c>
      <c r="P566">
        <v>0.33329999999999999</v>
      </c>
      <c r="Q566">
        <v>0.45</v>
      </c>
      <c r="R566">
        <v>0</v>
      </c>
      <c r="S566">
        <v>14</v>
      </c>
      <c r="T566">
        <v>208</v>
      </c>
      <c r="U566">
        <v>222</v>
      </c>
    </row>
    <row r="567" spans="1:21" x14ac:dyDescent="0.3">
      <c r="A567">
        <v>566</v>
      </c>
      <c r="B567" t="s">
        <v>53</v>
      </c>
      <c r="C567" t="str">
        <f t="shared" si="33"/>
        <v>25-Jan-2011</v>
      </c>
      <c r="D567">
        <v>1</v>
      </c>
      <c r="E567">
        <v>0</v>
      </c>
      <c r="F567">
        <v>1</v>
      </c>
      <c r="G567" t="str">
        <f t="shared" si="32"/>
        <v>Jan</v>
      </c>
      <c r="H567">
        <v>18</v>
      </c>
      <c r="I567">
        <f t="shared" si="34"/>
        <v>1</v>
      </c>
      <c r="J567" t="s">
        <v>126</v>
      </c>
      <c r="K567">
        <v>2</v>
      </c>
      <c r="L567" t="str">
        <f t="shared" si="35"/>
        <v>Weekday</v>
      </c>
      <c r="M567">
        <v>2</v>
      </c>
      <c r="N567" t="str" cm="1">
        <f t="array" ref="N567">_xlfn.IFS(M567=1,"Sunny Day",M567=2,"Cloudy Day",M567=3,"Rainy Day",M567=4,"Heavy Rain")</f>
        <v>Cloudy Day</v>
      </c>
      <c r="O567">
        <v>0.3</v>
      </c>
      <c r="P567">
        <v>0.31819999999999998</v>
      </c>
      <c r="Q567">
        <v>0.49</v>
      </c>
      <c r="R567">
        <v>8.9599999999999999E-2</v>
      </c>
      <c r="S567">
        <v>7</v>
      </c>
      <c r="T567">
        <v>218</v>
      </c>
      <c r="U567">
        <v>225</v>
      </c>
    </row>
    <row r="568" spans="1:21" x14ac:dyDescent="0.3">
      <c r="A568">
        <v>567</v>
      </c>
      <c r="B568" t="s">
        <v>53</v>
      </c>
      <c r="C568" t="str">
        <f t="shared" si="33"/>
        <v>25-Jan-2011</v>
      </c>
      <c r="D568">
        <v>1</v>
      </c>
      <c r="E568">
        <v>0</v>
      </c>
      <c r="F568">
        <v>1</v>
      </c>
      <c r="G568" t="str">
        <f t="shared" si="32"/>
        <v>Jan</v>
      </c>
      <c r="H568">
        <v>19</v>
      </c>
      <c r="I568">
        <f t="shared" si="34"/>
        <v>1</v>
      </c>
      <c r="J568" t="s">
        <v>126</v>
      </c>
      <c r="K568">
        <v>2</v>
      </c>
      <c r="L568" t="str">
        <f t="shared" si="35"/>
        <v>Weekday</v>
      </c>
      <c r="M568">
        <v>2</v>
      </c>
      <c r="N568" t="str" cm="1">
        <f t="array" ref="N568">_xlfn.IFS(M568=1,"Sunny Day",M568=2,"Cloudy Day",M568=3,"Rainy Day",M568=4,"Heavy Rain")</f>
        <v>Cloudy Day</v>
      </c>
      <c r="O568">
        <v>0.26</v>
      </c>
      <c r="P568">
        <v>0.2576</v>
      </c>
      <c r="Q568">
        <v>0.65</v>
      </c>
      <c r="R568">
        <v>0.16420000000000001</v>
      </c>
      <c r="S568">
        <v>13</v>
      </c>
      <c r="T568">
        <v>133</v>
      </c>
      <c r="U568">
        <v>146</v>
      </c>
    </row>
    <row r="569" spans="1:21" x14ac:dyDescent="0.3">
      <c r="A569">
        <v>568</v>
      </c>
      <c r="B569" t="s">
        <v>53</v>
      </c>
      <c r="C569" t="str">
        <f t="shared" si="33"/>
        <v>25-Jan-2011</v>
      </c>
      <c r="D569">
        <v>1</v>
      </c>
      <c r="E569">
        <v>0</v>
      </c>
      <c r="F569">
        <v>1</v>
      </c>
      <c r="G569" t="str">
        <f t="shared" si="32"/>
        <v>Jan</v>
      </c>
      <c r="H569">
        <v>20</v>
      </c>
      <c r="I569">
        <f t="shared" si="34"/>
        <v>1</v>
      </c>
      <c r="J569" t="s">
        <v>126</v>
      </c>
      <c r="K569">
        <v>2</v>
      </c>
      <c r="L569" t="str">
        <f t="shared" si="35"/>
        <v>Weekday</v>
      </c>
      <c r="M569">
        <v>1</v>
      </c>
      <c r="N569" t="str" cm="1">
        <f t="array" ref="N569">_xlfn.IFS(M569=1,"Sunny Day",M569=2,"Cloudy Day",M569=3,"Rainy Day",M569=4,"Heavy Rain")</f>
        <v>Sunny Day</v>
      </c>
      <c r="O569">
        <v>0.24</v>
      </c>
      <c r="P569">
        <v>0.2273</v>
      </c>
      <c r="Q569">
        <v>0.65</v>
      </c>
      <c r="R569">
        <v>0.19400000000000001</v>
      </c>
      <c r="S569">
        <v>16</v>
      </c>
      <c r="T569">
        <v>103</v>
      </c>
      <c r="U569">
        <v>119</v>
      </c>
    </row>
    <row r="570" spans="1:21" x14ac:dyDescent="0.3">
      <c r="A570">
        <v>569</v>
      </c>
      <c r="B570" t="s">
        <v>53</v>
      </c>
      <c r="C570" t="str">
        <f t="shared" si="33"/>
        <v>25-Jan-2011</v>
      </c>
      <c r="D570">
        <v>1</v>
      </c>
      <c r="E570">
        <v>0</v>
      </c>
      <c r="F570">
        <v>1</v>
      </c>
      <c r="G570" t="str">
        <f t="shared" si="32"/>
        <v>Jan</v>
      </c>
      <c r="H570">
        <v>21</v>
      </c>
      <c r="I570">
        <f t="shared" si="34"/>
        <v>1</v>
      </c>
      <c r="J570" t="s">
        <v>126</v>
      </c>
      <c r="K570">
        <v>2</v>
      </c>
      <c r="L570" t="str">
        <f t="shared" si="35"/>
        <v>Weekday</v>
      </c>
      <c r="M570">
        <v>1</v>
      </c>
      <c r="N570" t="str" cm="1">
        <f t="array" ref="N570">_xlfn.IFS(M570=1,"Sunny Day",M570=2,"Cloudy Day",M570=3,"Rainy Day",M570=4,"Heavy Rain")</f>
        <v>Sunny Day</v>
      </c>
      <c r="O570">
        <v>0.24</v>
      </c>
      <c r="P570">
        <v>0.2273</v>
      </c>
      <c r="Q570">
        <v>0.65</v>
      </c>
      <c r="R570">
        <v>0.19400000000000001</v>
      </c>
      <c r="S570">
        <v>5</v>
      </c>
      <c r="T570">
        <v>40</v>
      </c>
      <c r="U570">
        <v>45</v>
      </c>
    </row>
    <row r="571" spans="1:21" x14ac:dyDescent="0.3">
      <c r="A571">
        <v>570</v>
      </c>
      <c r="B571" t="s">
        <v>53</v>
      </c>
      <c r="C571" t="str">
        <f t="shared" si="33"/>
        <v>25-Jan-2011</v>
      </c>
      <c r="D571">
        <v>1</v>
      </c>
      <c r="E571">
        <v>0</v>
      </c>
      <c r="F571">
        <v>1</v>
      </c>
      <c r="G571" t="str">
        <f t="shared" si="32"/>
        <v>Jan</v>
      </c>
      <c r="H571">
        <v>22</v>
      </c>
      <c r="I571">
        <f t="shared" si="34"/>
        <v>1</v>
      </c>
      <c r="J571" t="s">
        <v>126</v>
      </c>
      <c r="K571">
        <v>2</v>
      </c>
      <c r="L571" t="str">
        <f t="shared" si="35"/>
        <v>Weekday</v>
      </c>
      <c r="M571">
        <v>1</v>
      </c>
      <c r="N571" t="str" cm="1">
        <f t="array" ref="N571">_xlfn.IFS(M571=1,"Sunny Day",M571=2,"Cloudy Day",M571=3,"Rainy Day",M571=4,"Heavy Rain")</f>
        <v>Sunny Day</v>
      </c>
      <c r="O571">
        <v>0.22</v>
      </c>
      <c r="P571">
        <v>0.2273</v>
      </c>
      <c r="Q571">
        <v>0.64</v>
      </c>
      <c r="R571">
        <v>0.16420000000000001</v>
      </c>
      <c r="S571">
        <v>4</v>
      </c>
      <c r="T571">
        <v>49</v>
      </c>
      <c r="U571">
        <v>53</v>
      </c>
    </row>
    <row r="572" spans="1:21" x14ac:dyDescent="0.3">
      <c r="A572">
        <v>571</v>
      </c>
      <c r="B572" t="s">
        <v>53</v>
      </c>
      <c r="C572" t="str">
        <f t="shared" si="33"/>
        <v>25-Jan-2011</v>
      </c>
      <c r="D572">
        <v>1</v>
      </c>
      <c r="E572">
        <v>0</v>
      </c>
      <c r="F572">
        <v>1</v>
      </c>
      <c r="G572" t="str">
        <f t="shared" si="32"/>
        <v>Jan</v>
      </c>
      <c r="H572">
        <v>23</v>
      </c>
      <c r="I572">
        <f t="shared" si="34"/>
        <v>1</v>
      </c>
      <c r="J572" t="s">
        <v>126</v>
      </c>
      <c r="K572">
        <v>2</v>
      </c>
      <c r="L572" t="str">
        <f t="shared" si="35"/>
        <v>Weekday</v>
      </c>
      <c r="M572">
        <v>2</v>
      </c>
      <c r="N572" t="str" cm="1">
        <f t="array" ref="N572">_xlfn.IFS(M572=1,"Sunny Day",M572=2,"Cloudy Day",M572=3,"Rainy Day",M572=4,"Heavy Rain")</f>
        <v>Cloudy Day</v>
      </c>
      <c r="O572">
        <v>0.22</v>
      </c>
      <c r="P572">
        <v>0.2273</v>
      </c>
      <c r="Q572">
        <v>0.64</v>
      </c>
      <c r="R572">
        <v>0.16420000000000001</v>
      </c>
      <c r="S572">
        <v>3</v>
      </c>
      <c r="T572">
        <v>37</v>
      </c>
      <c r="U572">
        <v>40</v>
      </c>
    </row>
    <row r="573" spans="1:21" x14ac:dyDescent="0.3">
      <c r="A573">
        <v>572</v>
      </c>
      <c r="B573" t="s">
        <v>55</v>
      </c>
      <c r="C573" t="str">
        <f t="shared" si="33"/>
        <v>26-Jan-2011</v>
      </c>
      <c r="D573">
        <v>1</v>
      </c>
      <c r="E573">
        <v>0</v>
      </c>
      <c r="F573">
        <v>1</v>
      </c>
      <c r="G573" t="str">
        <f t="shared" si="32"/>
        <v>Jan</v>
      </c>
      <c r="H573">
        <v>0</v>
      </c>
      <c r="I573">
        <f t="shared" si="34"/>
        <v>0</v>
      </c>
      <c r="J573" t="s">
        <v>126</v>
      </c>
      <c r="K573">
        <v>3</v>
      </c>
      <c r="L573" t="str">
        <f t="shared" si="35"/>
        <v>Weekday</v>
      </c>
      <c r="M573">
        <v>2</v>
      </c>
      <c r="N573" t="str" cm="1">
        <f t="array" ref="N573">_xlfn.IFS(M573=1,"Sunny Day",M573=2,"Cloudy Day",M573=3,"Rainy Day",M573=4,"Heavy Rain")</f>
        <v>Cloudy Day</v>
      </c>
      <c r="O573">
        <v>0.22</v>
      </c>
      <c r="P573">
        <v>0.2273</v>
      </c>
      <c r="Q573">
        <v>0.69</v>
      </c>
      <c r="R573">
        <v>0.1343</v>
      </c>
      <c r="S573">
        <v>3</v>
      </c>
      <c r="T573">
        <v>14</v>
      </c>
      <c r="U573">
        <v>17</v>
      </c>
    </row>
    <row r="574" spans="1:21" x14ac:dyDescent="0.3">
      <c r="A574">
        <v>573</v>
      </c>
      <c r="B574" t="s">
        <v>55</v>
      </c>
      <c r="C574" t="str">
        <f t="shared" si="33"/>
        <v>26-Jan-2011</v>
      </c>
      <c r="D574">
        <v>1</v>
      </c>
      <c r="E574">
        <v>0</v>
      </c>
      <c r="F574">
        <v>1</v>
      </c>
      <c r="G574" t="str">
        <f t="shared" si="32"/>
        <v>Jan</v>
      </c>
      <c r="H574">
        <v>1</v>
      </c>
      <c r="I574">
        <f t="shared" si="34"/>
        <v>0</v>
      </c>
      <c r="J574" t="s">
        <v>126</v>
      </c>
      <c r="K574">
        <v>3</v>
      </c>
      <c r="L574" t="str">
        <f t="shared" si="35"/>
        <v>Weekday</v>
      </c>
      <c r="M574">
        <v>2</v>
      </c>
      <c r="N574" t="str" cm="1">
        <f t="array" ref="N574">_xlfn.IFS(M574=1,"Sunny Day",M574=2,"Cloudy Day",M574=3,"Rainy Day",M574=4,"Heavy Rain")</f>
        <v>Cloudy Day</v>
      </c>
      <c r="O574">
        <v>0.24</v>
      </c>
      <c r="P574">
        <v>0.2424</v>
      </c>
      <c r="Q574">
        <v>0.65</v>
      </c>
      <c r="R574">
        <v>0.1343</v>
      </c>
      <c r="S574">
        <v>0</v>
      </c>
      <c r="T574">
        <v>5</v>
      </c>
      <c r="U574">
        <v>5</v>
      </c>
    </row>
    <row r="575" spans="1:21" x14ac:dyDescent="0.3">
      <c r="A575">
        <v>574</v>
      </c>
      <c r="B575" t="s">
        <v>55</v>
      </c>
      <c r="C575" t="str">
        <f t="shared" si="33"/>
        <v>26-Jan-2011</v>
      </c>
      <c r="D575">
        <v>1</v>
      </c>
      <c r="E575">
        <v>0</v>
      </c>
      <c r="F575">
        <v>1</v>
      </c>
      <c r="G575" t="str">
        <f t="shared" si="32"/>
        <v>Jan</v>
      </c>
      <c r="H575">
        <v>2</v>
      </c>
      <c r="I575">
        <f t="shared" si="34"/>
        <v>0</v>
      </c>
      <c r="J575" t="s">
        <v>126</v>
      </c>
      <c r="K575">
        <v>3</v>
      </c>
      <c r="L575" t="str">
        <f t="shared" si="35"/>
        <v>Weekday</v>
      </c>
      <c r="M575">
        <v>3</v>
      </c>
      <c r="N575" t="str" cm="1">
        <f t="array" ref="N575">_xlfn.IFS(M575=1,"Sunny Day",M575=2,"Cloudy Day",M575=3,"Rainy Day",M575=4,"Heavy Rain")</f>
        <v>Rainy Day</v>
      </c>
      <c r="O575">
        <v>0.22</v>
      </c>
      <c r="P575">
        <v>0.2273</v>
      </c>
      <c r="Q575">
        <v>0.69</v>
      </c>
      <c r="R575">
        <v>0.19400000000000001</v>
      </c>
      <c r="S575">
        <v>3</v>
      </c>
      <c r="T575">
        <v>7</v>
      </c>
      <c r="U575">
        <v>10</v>
      </c>
    </row>
    <row r="576" spans="1:21" x14ac:dyDescent="0.3">
      <c r="A576">
        <v>575</v>
      </c>
      <c r="B576" t="s">
        <v>55</v>
      </c>
      <c r="C576" t="str">
        <f t="shared" si="33"/>
        <v>26-Jan-2011</v>
      </c>
      <c r="D576">
        <v>1</v>
      </c>
      <c r="E576">
        <v>0</v>
      </c>
      <c r="F576">
        <v>1</v>
      </c>
      <c r="G576" t="str">
        <f t="shared" si="32"/>
        <v>Jan</v>
      </c>
      <c r="H576">
        <v>5</v>
      </c>
      <c r="I576">
        <f t="shared" si="34"/>
        <v>0</v>
      </c>
      <c r="J576" t="s">
        <v>126</v>
      </c>
      <c r="K576">
        <v>3</v>
      </c>
      <c r="L576" t="str">
        <f t="shared" si="35"/>
        <v>Weekday</v>
      </c>
      <c r="M576">
        <v>3</v>
      </c>
      <c r="N576" t="str" cm="1">
        <f t="array" ref="N576">_xlfn.IFS(M576=1,"Sunny Day",M576=2,"Cloudy Day",M576=3,"Rainy Day",M576=4,"Heavy Rain")</f>
        <v>Rainy Day</v>
      </c>
      <c r="O576">
        <v>0.2</v>
      </c>
      <c r="P576">
        <v>0.18179999999999999</v>
      </c>
      <c r="Q576">
        <v>0.86</v>
      </c>
      <c r="R576">
        <v>0.28360000000000002</v>
      </c>
      <c r="S576">
        <v>0</v>
      </c>
      <c r="T576">
        <v>1</v>
      </c>
      <c r="U576">
        <v>1</v>
      </c>
    </row>
    <row r="577" spans="1:21" x14ac:dyDescent="0.3">
      <c r="A577">
        <v>576</v>
      </c>
      <c r="B577" t="s">
        <v>55</v>
      </c>
      <c r="C577" t="str">
        <f t="shared" si="33"/>
        <v>26-Jan-2011</v>
      </c>
      <c r="D577">
        <v>1</v>
      </c>
      <c r="E577">
        <v>0</v>
      </c>
      <c r="F577">
        <v>1</v>
      </c>
      <c r="G577" t="str">
        <f t="shared" si="32"/>
        <v>Jan</v>
      </c>
      <c r="H577">
        <v>6</v>
      </c>
      <c r="I577">
        <f t="shared" si="34"/>
        <v>0</v>
      </c>
      <c r="J577" t="s">
        <v>126</v>
      </c>
      <c r="K577">
        <v>3</v>
      </c>
      <c r="L577" t="str">
        <f t="shared" si="35"/>
        <v>Weekday</v>
      </c>
      <c r="M577">
        <v>3</v>
      </c>
      <c r="N577" t="str" cm="1">
        <f t="array" ref="N577">_xlfn.IFS(M577=1,"Sunny Day",M577=2,"Cloudy Day",M577=3,"Rainy Day",M577=4,"Heavy Rain")</f>
        <v>Rainy Day</v>
      </c>
      <c r="O577">
        <v>0.2</v>
      </c>
      <c r="P577">
        <v>0.18179999999999999</v>
      </c>
      <c r="Q577">
        <v>0.86</v>
      </c>
      <c r="R577">
        <v>0.28360000000000002</v>
      </c>
      <c r="S577">
        <v>0</v>
      </c>
      <c r="T577">
        <v>8</v>
      </c>
      <c r="U577">
        <v>8</v>
      </c>
    </row>
    <row r="578" spans="1:21" x14ac:dyDescent="0.3">
      <c r="A578">
        <v>577</v>
      </c>
      <c r="B578" t="s">
        <v>55</v>
      </c>
      <c r="C578" t="str">
        <f t="shared" si="33"/>
        <v>26-Jan-2011</v>
      </c>
      <c r="D578">
        <v>1</v>
      </c>
      <c r="E578">
        <v>0</v>
      </c>
      <c r="F578">
        <v>1</v>
      </c>
      <c r="G578" t="str">
        <f t="shared" ref="G578:G641" si="36">TEXT(C578,"mmm")</f>
        <v>Jan</v>
      </c>
      <c r="H578">
        <v>7</v>
      </c>
      <c r="I578">
        <f t="shared" si="34"/>
        <v>0</v>
      </c>
      <c r="J578" t="s">
        <v>126</v>
      </c>
      <c r="K578">
        <v>3</v>
      </c>
      <c r="L578" t="str">
        <f t="shared" si="35"/>
        <v>Weekday</v>
      </c>
      <c r="M578">
        <v>3</v>
      </c>
      <c r="N578" t="str" cm="1">
        <f t="array" ref="N578">_xlfn.IFS(M578=1,"Sunny Day",M578=2,"Cloudy Day",M578=3,"Rainy Day",M578=4,"Heavy Rain")</f>
        <v>Rainy Day</v>
      </c>
      <c r="O578">
        <v>0.22</v>
      </c>
      <c r="P578">
        <v>0.21210000000000001</v>
      </c>
      <c r="Q578">
        <v>0.87</v>
      </c>
      <c r="R578">
        <v>0.29849999999999999</v>
      </c>
      <c r="S578">
        <v>1</v>
      </c>
      <c r="T578">
        <v>29</v>
      </c>
      <c r="U578">
        <v>30</v>
      </c>
    </row>
    <row r="579" spans="1:21" x14ac:dyDescent="0.3">
      <c r="A579">
        <v>578</v>
      </c>
      <c r="B579" t="s">
        <v>55</v>
      </c>
      <c r="C579" t="str">
        <f t="shared" ref="C579:C642" si="37">TEXT(DATEVALUE(B579),"dd-mmm-yyyy")</f>
        <v>26-Jan-2011</v>
      </c>
      <c r="D579">
        <v>1</v>
      </c>
      <c r="E579">
        <v>0</v>
      </c>
      <c r="F579">
        <v>1</v>
      </c>
      <c r="G579" t="str">
        <f t="shared" si="36"/>
        <v>Jan</v>
      </c>
      <c r="H579">
        <v>8</v>
      </c>
      <c r="I579">
        <f t="shared" ref="I579:I642" si="38">IF(AND(H579&gt;=0,H579&lt;=10),0,1)</f>
        <v>0</v>
      </c>
      <c r="J579" t="s">
        <v>126</v>
      </c>
      <c r="K579">
        <v>3</v>
      </c>
      <c r="L579" t="str">
        <f t="shared" ref="L579:L642" si="39">IF(AND(K579&gt;=1,K579&lt;=5),"Weekday","Weekend")</f>
        <v>Weekday</v>
      </c>
      <c r="M579">
        <v>3</v>
      </c>
      <c r="N579" t="str" cm="1">
        <f t="array" ref="N579">_xlfn.IFS(M579=1,"Sunny Day",M579=2,"Cloudy Day",M579=3,"Rainy Day",M579=4,"Heavy Rain")</f>
        <v>Rainy Day</v>
      </c>
      <c r="O579">
        <v>0.22</v>
      </c>
      <c r="P579">
        <v>0.21210000000000001</v>
      </c>
      <c r="Q579">
        <v>0.87</v>
      </c>
      <c r="R579">
        <v>0.29849999999999999</v>
      </c>
      <c r="S579">
        <v>3</v>
      </c>
      <c r="T579">
        <v>69</v>
      </c>
      <c r="U579">
        <v>72</v>
      </c>
    </row>
    <row r="580" spans="1:21" x14ac:dyDescent="0.3">
      <c r="A580">
        <v>579</v>
      </c>
      <c r="B580" t="s">
        <v>55</v>
      </c>
      <c r="C580" t="str">
        <f t="shared" si="37"/>
        <v>26-Jan-2011</v>
      </c>
      <c r="D580">
        <v>1</v>
      </c>
      <c r="E580">
        <v>0</v>
      </c>
      <c r="F580">
        <v>1</v>
      </c>
      <c r="G580" t="str">
        <f t="shared" si="36"/>
        <v>Jan</v>
      </c>
      <c r="H580">
        <v>9</v>
      </c>
      <c r="I580">
        <f t="shared" si="38"/>
        <v>0</v>
      </c>
      <c r="J580" t="s">
        <v>126</v>
      </c>
      <c r="K580">
        <v>3</v>
      </c>
      <c r="L580" t="str">
        <f t="shared" si="39"/>
        <v>Weekday</v>
      </c>
      <c r="M580">
        <v>3</v>
      </c>
      <c r="N580" t="str" cm="1">
        <f t="array" ref="N580">_xlfn.IFS(M580=1,"Sunny Day",M580=2,"Cloudy Day",M580=3,"Rainy Day",M580=4,"Heavy Rain")</f>
        <v>Rainy Day</v>
      </c>
      <c r="O580">
        <v>0.22</v>
      </c>
      <c r="P580">
        <v>0.21210000000000001</v>
      </c>
      <c r="Q580">
        <v>0.87</v>
      </c>
      <c r="R580">
        <v>0.29849999999999999</v>
      </c>
      <c r="S580">
        <v>3</v>
      </c>
      <c r="T580">
        <v>55</v>
      </c>
      <c r="U580">
        <v>58</v>
      </c>
    </row>
    <row r="581" spans="1:21" x14ac:dyDescent="0.3">
      <c r="A581">
        <v>580</v>
      </c>
      <c r="B581" t="s">
        <v>55</v>
      </c>
      <c r="C581" t="str">
        <f t="shared" si="37"/>
        <v>26-Jan-2011</v>
      </c>
      <c r="D581">
        <v>1</v>
      </c>
      <c r="E581">
        <v>0</v>
      </c>
      <c r="F581">
        <v>1</v>
      </c>
      <c r="G581" t="str">
        <f t="shared" si="36"/>
        <v>Jan</v>
      </c>
      <c r="H581">
        <v>10</v>
      </c>
      <c r="I581">
        <f t="shared" si="38"/>
        <v>0</v>
      </c>
      <c r="J581" t="s">
        <v>126</v>
      </c>
      <c r="K581">
        <v>3</v>
      </c>
      <c r="L581" t="str">
        <f t="shared" si="39"/>
        <v>Weekday</v>
      </c>
      <c r="M581">
        <v>3</v>
      </c>
      <c r="N581" t="str" cm="1">
        <f t="array" ref="N581">_xlfn.IFS(M581=1,"Sunny Day",M581=2,"Cloudy Day",M581=3,"Rainy Day",M581=4,"Heavy Rain")</f>
        <v>Rainy Day</v>
      </c>
      <c r="O581">
        <v>0.22</v>
      </c>
      <c r="P581">
        <v>0.21210000000000001</v>
      </c>
      <c r="Q581">
        <v>0.93</v>
      </c>
      <c r="R581">
        <v>0.28360000000000002</v>
      </c>
      <c r="S581">
        <v>2</v>
      </c>
      <c r="T581">
        <v>26</v>
      </c>
      <c r="U581">
        <v>28</v>
      </c>
    </row>
    <row r="582" spans="1:21" x14ac:dyDescent="0.3">
      <c r="A582">
        <v>581</v>
      </c>
      <c r="B582" t="s">
        <v>55</v>
      </c>
      <c r="C582" t="str">
        <f t="shared" si="37"/>
        <v>26-Jan-2011</v>
      </c>
      <c r="D582">
        <v>1</v>
      </c>
      <c r="E582">
        <v>0</v>
      </c>
      <c r="F582">
        <v>1</v>
      </c>
      <c r="G582" t="str">
        <f t="shared" si="36"/>
        <v>Jan</v>
      </c>
      <c r="H582">
        <v>11</v>
      </c>
      <c r="I582">
        <f t="shared" si="38"/>
        <v>1</v>
      </c>
      <c r="J582" t="s">
        <v>126</v>
      </c>
      <c r="K582">
        <v>3</v>
      </c>
      <c r="L582" t="str">
        <f t="shared" si="39"/>
        <v>Weekday</v>
      </c>
      <c r="M582">
        <v>3</v>
      </c>
      <c r="N582" t="str" cm="1">
        <f t="array" ref="N582">_xlfn.IFS(M582=1,"Sunny Day",M582=2,"Cloudy Day",M582=3,"Rainy Day",M582=4,"Heavy Rain")</f>
        <v>Rainy Day</v>
      </c>
      <c r="O582">
        <v>0.22</v>
      </c>
      <c r="P582">
        <v>0.19700000000000001</v>
      </c>
      <c r="Q582">
        <v>0.93</v>
      </c>
      <c r="R582">
        <v>0.32840000000000003</v>
      </c>
      <c r="S582">
        <v>6</v>
      </c>
      <c r="T582">
        <v>35</v>
      </c>
      <c r="U582">
        <v>41</v>
      </c>
    </row>
    <row r="583" spans="1:21" x14ac:dyDescent="0.3">
      <c r="A583">
        <v>582</v>
      </c>
      <c r="B583" t="s">
        <v>55</v>
      </c>
      <c r="C583" t="str">
        <f t="shared" si="37"/>
        <v>26-Jan-2011</v>
      </c>
      <c r="D583">
        <v>1</v>
      </c>
      <c r="E583">
        <v>0</v>
      </c>
      <c r="F583">
        <v>1</v>
      </c>
      <c r="G583" t="str">
        <f t="shared" si="36"/>
        <v>Jan</v>
      </c>
      <c r="H583">
        <v>12</v>
      </c>
      <c r="I583">
        <f t="shared" si="38"/>
        <v>1</v>
      </c>
      <c r="J583" t="s">
        <v>126</v>
      </c>
      <c r="K583">
        <v>3</v>
      </c>
      <c r="L583" t="str">
        <f t="shared" si="39"/>
        <v>Weekday</v>
      </c>
      <c r="M583">
        <v>3</v>
      </c>
      <c r="N583" t="str" cm="1">
        <f t="array" ref="N583">_xlfn.IFS(M583=1,"Sunny Day",M583=2,"Cloudy Day",M583=3,"Rainy Day",M583=4,"Heavy Rain")</f>
        <v>Rainy Day</v>
      </c>
      <c r="O583">
        <v>0.22</v>
      </c>
      <c r="P583">
        <v>0.19700000000000001</v>
      </c>
      <c r="Q583">
        <v>0.93</v>
      </c>
      <c r="R583">
        <v>0.32840000000000003</v>
      </c>
      <c r="S583">
        <v>7</v>
      </c>
      <c r="T583">
        <v>41</v>
      </c>
      <c r="U583">
        <v>48</v>
      </c>
    </row>
    <row r="584" spans="1:21" x14ac:dyDescent="0.3">
      <c r="A584">
        <v>583</v>
      </c>
      <c r="B584" t="s">
        <v>55</v>
      </c>
      <c r="C584" t="str">
        <f t="shared" si="37"/>
        <v>26-Jan-2011</v>
      </c>
      <c r="D584">
        <v>1</v>
      </c>
      <c r="E584">
        <v>0</v>
      </c>
      <c r="F584">
        <v>1</v>
      </c>
      <c r="G584" t="str">
        <f t="shared" si="36"/>
        <v>Jan</v>
      </c>
      <c r="H584">
        <v>13</v>
      </c>
      <c r="I584">
        <f t="shared" si="38"/>
        <v>1</v>
      </c>
      <c r="J584" t="s">
        <v>126</v>
      </c>
      <c r="K584">
        <v>3</v>
      </c>
      <c r="L584" t="str">
        <f t="shared" si="39"/>
        <v>Weekday</v>
      </c>
      <c r="M584">
        <v>3</v>
      </c>
      <c r="N584" t="str" cm="1">
        <f t="array" ref="N584">_xlfn.IFS(M584=1,"Sunny Day",M584=2,"Cloudy Day",M584=3,"Rainy Day",M584=4,"Heavy Rain")</f>
        <v>Rainy Day</v>
      </c>
      <c r="O584">
        <v>0.22</v>
      </c>
      <c r="P584">
        <v>0.19700000000000001</v>
      </c>
      <c r="Q584">
        <v>0.93</v>
      </c>
      <c r="R584">
        <v>0.32840000000000003</v>
      </c>
      <c r="S584">
        <v>4</v>
      </c>
      <c r="T584">
        <v>43</v>
      </c>
      <c r="U584">
        <v>47</v>
      </c>
    </row>
    <row r="585" spans="1:21" x14ac:dyDescent="0.3">
      <c r="A585">
        <v>584</v>
      </c>
      <c r="B585" t="s">
        <v>55</v>
      </c>
      <c r="C585" t="str">
        <f t="shared" si="37"/>
        <v>26-Jan-2011</v>
      </c>
      <c r="D585">
        <v>1</v>
      </c>
      <c r="E585">
        <v>0</v>
      </c>
      <c r="F585">
        <v>1</v>
      </c>
      <c r="G585" t="str">
        <f t="shared" si="36"/>
        <v>Jan</v>
      </c>
      <c r="H585">
        <v>14</v>
      </c>
      <c r="I585">
        <f t="shared" si="38"/>
        <v>1</v>
      </c>
      <c r="J585" t="s">
        <v>126</v>
      </c>
      <c r="K585">
        <v>3</v>
      </c>
      <c r="L585" t="str">
        <f t="shared" si="39"/>
        <v>Weekday</v>
      </c>
      <c r="M585">
        <v>3</v>
      </c>
      <c r="N585" t="str" cm="1">
        <f t="array" ref="N585">_xlfn.IFS(M585=1,"Sunny Day",M585=2,"Cloudy Day",M585=3,"Rainy Day",M585=4,"Heavy Rain")</f>
        <v>Rainy Day</v>
      </c>
      <c r="O585">
        <v>0.22</v>
      </c>
      <c r="P585">
        <v>0.19700000000000001</v>
      </c>
      <c r="Q585">
        <v>0.93</v>
      </c>
      <c r="R585">
        <v>0.35820000000000002</v>
      </c>
      <c r="S585">
        <v>0</v>
      </c>
      <c r="T585">
        <v>36</v>
      </c>
      <c r="U585">
        <v>36</v>
      </c>
    </row>
    <row r="586" spans="1:21" x14ac:dyDescent="0.3">
      <c r="A586">
        <v>585</v>
      </c>
      <c r="B586" t="s">
        <v>55</v>
      </c>
      <c r="C586" t="str">
        <f t="shared" si="37"/>
        <v>26-Jan-2011</v>
      </c>
      <c r="D586">
        <v>1</v>
      </c>
      <c r="E586">
        <v>0</v>
      </c>
      <c r="F586">
        <v>1</v>
      </c>
      <c r="G586" t="str">
        <f t="shared" si="36"/>
        <v>Jan</v>
      </c>
      <c r="H586">
        <v>15</v>
      </c>
      <c r="I586">
        <f t="shared" si="38"/>
        <v>1</v>
      </c>
      <c r="J586" t="s">
        <v>126</v>
      </c>
      <c r="K586">
        <v>3</v>
      </c>
      <c r="L586" t="str">
        <f t="shared" si="39"/>
        <v>Weekday</v>
      </c>
      <c r="M586">
        <v>3</v>
      </c>
      <c r="N586" t="str" cm="1">
        <f t="array" ref="N586">_xlfn.IFS(M586=1,"Sunny Day",M586=2,"Cloudy Day",M586=3,"Rainy Day",M586=4,"Heavy Rain")</f>
        <v>Rainy Day</v>
      </c>
      <c r="O586">
        <v>0.22</v>
      </c>
      <c r="P586">
        <v>0.18179999999999999</v>
      </c>
      <c r="Q586">
        <v>0.93</v>
      </c>
      <c r="R586">
        <v>0.4627</v>
      </c>
      <c r="S586">
        <v>1</v>
      </c>
      <c r="T586">
        <v>42</v>
      </c>
      <c r="U586">
        <v>43</v>
      </c>
    </row>
    <row r="587" spans="1:21" x14ac:dyDescent="0.3">
      <c r="A587">
        <v>586</v>
      </c>
      <c r="B587" t="s">
        <v>55</v>
      </c>
      <c r="C587" t="str">
        <f t="shared" si="37"/>
        <v>26-Jan-2011</v>
      </c>
      <c r="D587">
        <v>1</v>
      </c>
      <c r="E587">
        <v>0</v>
      </c>
      <c r="F587">
        <v>1</v>
      </c>
      <c r="G587" t="str">
        <f t="shared" si="36"/>
        <v>Jan</v>
      </c>
      <c r="H587">
        <v>16</v>
      </c>
      <c r="I587">
        <f t="shared" si="38"/>
        <v>1</v>
      </c>
      <c r="J587" t="s">
        <v>126</v>
      </c>
      <c r="K587">
        <v>3</v>
      </c>
      <c r="L587" t="str">
        <f t="shared" si="39"/>
        <v>Weekday</v>
      </c>
      <c r="M587">
        <v>4</v>
      </c>
      <c r="N587" t="str" cm="1">
        <f t="array" ref="N587">_xlfn.IFS(M587=1,"Sunny Day",M587=2,"Cloudy Day",M587=3,"Rainy Day",M587=4,"Heavy Rain")</f>
        <v>Heavy Rain</v>
      </c>
      <c r="O587">
        <v>0.22</v>
      </c>
      <c r="P587">
        <v>0.19700000000000001</v>
      </c>
      <c r="Q587">
        <v>0.93</v>
      </c>
      <c r="R587">
        <v>0.32840000000000003</v>
      </c>
      <c r="S587">
        <v>1</v>
      </c>
      <c r="T587">
        <v>35</v>
      </c>
      <c r="U587">
        <v>36</v>
      </c>
    </row>
    <row r="588" spans="1:21" x14ac:dyDescent="0.3">
      <c r="A588">
        <v>587</v>
      </c>
      <c r="B588" t="s">
        <v>55</v>
      </c>
      <c r="C588" t="str">
        <f t="shared" si="37"/>
        <v>26-Jan-2011</v>
      </c>
      <c r="D588">
        <v>1</v>
      </c>
      <c r="E588">
        <v>0</v>
      </c>
      <c r="F588">
        <v>1</v>
      </c>
      <c r="G588" t="str">
        <f t="shared" si="36"/>
        <v>Jan</v>
      </c>
      <c r="H588">
        <v>17</v>
      </c>
      <c r="I588">
        <f t="shared" si="38"/>
        <v>1</v>
      </c>
      <c r="J588" t="s">
        <v>126</v>
      </c>
      <c r="K588">
        <v>3</v>
      </c>
      <c r="L588" t="str">
        <f t="shared" si="39"/>
        <v>Weekday</v>
      </c>
      <c r="M588">
        <v>3</v>
      </c>
      <c r="N588" t="str" cm="1">
        <f t="array" ref="N588">_xlfn.IFS(M588=1,"Sunny Day",M588=2,"Cloudy Day",M588=3,"Rainy Day",M588=4,"Heavy Rain")</f>
        <v>Rainy Day</v>
      </c>
      <c r="O588">
        <v>0.2</v>
      </c>
      <c r="P588">
        <v>0.18179999999999999</v>
      </c>
      <c r="Q588">
        <v>0.93</v>
      </c>
      <c r="R588">
        <v>0.35820000000000002</v>
      </c>
      <c r="S588">
        <v>0</v>
      </c>
      <c r="T588">
        <v>26</v>
      </c>
      <c r="U588">
        <v>26</v>
      </c>
    </row>
    <row r="589" spans="1:21" x14ac:dyDescent="0.3">
      <c r="A589">
        <v>588</v>
      </c>
      <c r="B589" t="s">
        <v>58</v>
      </c>
      <c r="C589" t="str">
        <f t="shared" si="37"/>
        <v>27-Jan-2011</v>
      </c>
      <c r="D589">
        <v>1</v>
      </c>
      <c r="E589">
        <v>0</v>
      </c>
      <c r="F589">
        <v>1</v>
      </c>
      <c r="G589" t="str">
        <f t="shared" si="36"/>
        <v>Jan</v>
      </c>
      <c r="H589">
        <v>16</v>
      </c>
      <c r="I589">
        <f t="shared" si="38"/>
        <v>1</v>
      </c>
      <c r="J589" t="s">
        <v>126</v>
      </c>
      <c r="K589">
        <v>4</v>
      </c>
      <c r="L589" t="str">
        <f t="shared" si="39"/>
        <v>Weekday</v>
      </c>
      <c r="M589">
        <v>1</v>
      </c>
      <c r="N589" t="str" cm="1">
        <f t="array" ref="N589">_xlfn.IFS(M589=1,"Sunny Day",M589=2,"Cloudy Day",M589=3,"Rainy Day",M589=4,"Heavy Rain")</f>
        <v>Sunny Day</v>
      </c>
      <c r="O589">
        <v>0.22</v>
      </c>
      <c r="P589">
        <v>0.2273</v>
      </c>
      <c r="Q589">
        <v>0.55000000000000004</v>
      </c>
      <c r="R589">
        <v>0.19400000000000001</v>
      </c>
      <c r="S589">
        <v>1</v>
      </c>
      <c r="T589">
        <v>23</v>
      </c>
      <c r="U589">
        <v>24</v>
      </c>
    </row>
    <row r="590" spans="1:21" x14ac:dyDescent="0.3">
      <c r="A590">
        <v>589</v>
      </c>
      <c r="B590" t="s">
        <v>58</v>
      </c>
      <c r="C590" t="str">
        <f t="shared" si="37"/>
        <v>27-Jan-2011</v>
      </c>
      <c r="D590">
        <v>1</v>
      </c>
      <c r="E590">
        <v>0</v>
      </c>
      <c r="F590">
        <v>1</v>
      </c>
      <c r="G590" t="str">
        <f t="shared" si="36"/>
        <v>Jan</v>
      </c>
      <c r="H590">
        <v>17</v>
      </c>
      <c r="I590">
        <f t="shared" si="38"/>
        <v>1</v>
      </c>
      <c r="J590" t="s">
        <v>126</v>
      </c>
      <c r="K590">
        <v>4</v>
      </c>
      <c r="L590" t="str">
        <f t="shared" si="39"/>
        <v>Weekday</v>
      </c>
      <c r="M590">
        <v>1</v>
      </c>
      <c r="N590" t="str" cm="1">
        <f t="array" ref="N590">_xlfn.IFS(M590=1,"Sunny Day",M590=2,"Cloudy Day",M590=3,"Rainy Day",M590=4,"Heavy Rain")</f>
        <v>Sunny Day</v>
      </c>
      <c r="O590">
        <v>0.22</v>
      </c>
      <c r="P590">
        <v>0.2424</v>
      </c>
      <c r="Q590">
        <v>0.55000000000000004</v>
      </c>
      <c r="R590">
        <v>0.1045</v>
      </c>
      <c r="S590">
        <v>2</v>
      </c>
      <c r="T590">
        <v>82</v>
      </c>
      <c r="U590">
        <v>84</v>
      </c>
    </row>
    <row r="591" spans="1:21" x14ac:dyDescent="0.3">
      <c r="A591">
        <v>590</v>
      </c>
      <c r="B591" t="s">
        <v>58</v>
      </c>
      <c r="C591" t="str">
        <f t="shared" si="37"/>
        <v>27-Jan-2011</v>
      </c>
      <c r="D591">
        <v>1</v>
      </c>
      <c r="E591">
        <v>0</v>
      </c>
      <c r="F591">
        <v>1</v>
      </c>
      <c r="G591" t="str">
        <f t="shared" si="36"/>
        <v>Jan</v>
      </c>
      <c r="H591">
        <v>18</v>
      </c>
      <c r="I591">
        <f t="shared" si="38"/>
        <v>1</v>
      </c>
      <c r="J591" t="s">
        <v>126</v>
      </c>
      <c r="K591">
        <v>4</v>
      </c>
      <c r="L591" t="str">
        <f t="shared" si="39"/>
        <v>Weekday</v>
      </c>
      <c r="M591">
        <v>1</v>
      </c>
      <c r="N591" t="str" cm="1">
        <f t="array" ref="N591">_xlfn.IFS(M591=1,"Sunny Day",M591=2,"Cloudy Day",M591=3,"Rainy Day",M591=4,"Heavy Rain")</f>
        <v>Sunny Day</v>
      </c>
      <c r="O591">
        <v>0.2</v>
      </c>
      <c r="P591">
        <v>0.2273</v>
      </c>
      <c r="Q591">
        <v>0.69</v>
      </c>
      <c r="R591">
        <v>8.9599999999999999E-2</v>
      </c>
      <c r="S591">
        <v>3</v>
      </c>
      <c r="T591">
        <v>101</v>
      </c>
      <c r="U591">
        <v>104</v>
      </c>
    </row>
    <row r="592" spans="1:21" x14ac:dyDescent="0.3">
      <c r="A592">
        <v>591</v>
      </c>
      <c r="B592" t="s">
        <v>58</v>
      </c>
      <c r="C592" t="str">
        <f t="shared" si="37"/>
        <v>27-Jan-2011</v>
      </c>
      <c r="D592">
        <v>1</v>
      </c>
      <c r="E592">
        <v>0</v>
      </c>
      <c r="F592">
        <v>1</v>
      </c>
      <c r="G592" t="str">
        <f t="shared" si="36"/>
        <v>Jan</v>
      </c>
      <c r="H592">
        <v>19</v>
      </c>
      <c r="I592">
        <f t="shared" si="38"/>
        <v>1</v>
      </c>
      <c r="J592" t="s">
        <v>126</v>
      </c>
      <c r="K592">
        <v>4</v>
      </c>
      <c r="L592" t="str">
        <f t="shared" si="39"/>
        <v>Weekday</v>
      </c>
      <c r="M592">
        <v>1</v>
      </c>
      <c r="N592" t="str" cm="1">
        <f t="array" ref="N592">_xlfn.IFS(M592=1,"Sunny Day",M592=2,"Cloudy Day",M592=3,"Rainy Day",M592=4,"Heavy Rain")</f>
        <v>Sunny Day</v>
      </c>
      <c r="O592">
        <v>0.2</v>
      </c>
      <c r="P592">
        <v>0.2273</v>
      </c>
      <c r="Q592">
        <v>0.69</v>
      </c>
      <c r="R592">
        <v>8.9599999999999999E-2</v>
      </c>
      <c r="S592">
        <v>3</v>
      </c>
      <c r="T592">
        <v>76</v>
      </c>
      <c r="U592">
        <v>79</v>
      </c>
    </row>
    <row r="593" spans="1:21" x14ac:dyDescent="0.3">
      <c r="A593">
        <v>592</v>
      </c>
      <c r="B593" t="s">
        <v>58</v>
      </c>
      <c r="C593" t="str">
        <f t="shared" si="37"/>
        <v>27-Jan-2011</v>
      </c>
      <c r="D593">
        <v>1</v>
      </c>
      <c r="E593">
        <v>0</v>
      </c>
      <c r="F593">
        <v>1</v>
      </c>
      <c r="G593" t="str">
        <f t="shared" si="36"/>
        <v>Jan</v>
      </c>
      <c r="H593">
        <v>20</v>
      </c>
      <c r="I593">
        <f t="shared" si="38"/>
        <v>1</v>
      </c>
      <c r="J593" t="s">
        <v>126</v>
      </c>
      <c r="K593">
        <v>4</v>
      </c>
      <c r="L593" t="str">
        <f t="shared" si="39"/>
        <v>Weekday</v>
      </c>
      <c r="M593">
        <v>1</v>
      </c>
      <c r="N593" t="str" cm="1">
        <f t="array" ref="N593">_xlfn.IFS(M593=1,"Sunny Day",M593=2,"Cloudy Day",M593=3,"Rainy Day",M593=4,"Heavy Rain")</f>
        <v>Sunny Day</v>
      </c>
      <c r="O593">
        <v>0.18</v>
      </c>
      <c r="P593">
        <v>0.21210000000000001</v>
      </c>
      <c r="Q593">
        <v>0.74</v>
      </c>
      <c r="R593">
        <v>8.9599999999999999E-2</v>
      </c>
      <c r="S593">
        <v>4</v>
      </c>
      <c r="T593">
        <v>55</v>
      </c>
      <c r="U593">
        <v>59</v>
      </c>
    </row>
    <row r="594" spans="1:21" x14ac:dyDescent="0.3">
      <c r="A594">
        <v>593</v>
      </c>
      <c r="B594" t="s">
        <v>58</v>
      </c>
      <c r="C594" t="str">
        <f t="shared" si="37"/>
        <v>27-Jan-2011</v>
      </c>
      <c r="D594">
        <v>1</v>
      </c>
      <c r="E594">
        <v>0</v>
      </c>
      <c r="F594">
        <v>1</v>
      </c>
      <c r="G594" t="str">
        <f t="shared" si="36"/>
        <v>Jan</v>
      </c>
      <c r="H594">
        <v>21</v>
      </c>
      <c r="I594">
        <f t="shared" si="38"/>
        <v>1</v>
      </c>
      <c r="J594" t="s">
        <v>126</v>
      </c>
      <c r="K594">
        <v>4</v>
      </c>
      <c r="L594" t="str">
        <f t="shared" si="39"/>
        <v>Weekday</v>
      </c>
      <c r="M594">
        <v>1</v>
      </c>
      <c r="N594" t="str" cm="1">
        <f t="array" ref="N594">_xlfn.IFS(M594=1,"Sunny Day",M594=2,"Cloudy Day",M594=3,"Rainy Day",M594=4,"Heavy Rain")</f>
        <v>Sunny Day</v>
      </c>
      <c r="O594">
        <v>0.18</v>
      </c>
      <c r="P594">
        <v>0.21210000000000001</v>
      </c>
      <c r="Q594">
        <v>0.74</v>
      </c>
      <c r="R594">
        <v>8.9599999999999999E-2</v>
      </c>
      <c r="S594">
        <v>2</v>
      </c>
      <c r="T594">
        <v>36</v>
      </c>
      <c r="U594">
        <v>38</v>
      </c>
    </row>
    <row r="595" spans="1:21" x14ac:dyDescent="0.3">
      <c r="A595">
        <v>594</v>
      </c>
      <c r="B595" t="s">
        <v>58</v>
      </c>
      <c r="C595" t="str">
        <f t="shared" si="37"/>
        <v>27-Jan-2011</v>
      </c>
      <c r="D595">
        <v>1</v>
      </c>
      <c r="E595">
        <v>0</v>
      </c>
      <c r="F595">
        <v>1</v>
      </c>
      <c r="G595" t="str">
        <f t="shared" si="36"/>
        <v>Jan</v>
      </c>
      <c r="H595">
        <v>22</v>
      </c>
      <c r="I595">
        <f t="shared" si="38"/>
        <v>1</v>
      </c>
      <c r="J595" t="s">
        <v>126</v>
      </c>
      <c r="K595">
        <v>4</v>
      </c>
      <c r="L595" t="str">
        <f t="shared" si="39"/>
        <v>Weekday</v>
      </c>
      <c r="M595">
        <v>1</v>
      </c>
      <c r="N595" t="str" cm="1">
        <f t="array" ref="N595">_xlfn.IFS(M595=1,"Sunny Day",M595=2,"Cloudy Day",M595=3,"Rainy Day",M595=4,"Heavy Rain")</f>
        <v>Sunny Day</v>
      </c>
      <c r="O595">
        <v>0.18</v>
      </c>
      <c r="P595">
        <v>0.21210000000000001</v>
      </c>
      <c r="Q595">
        <v>0.74</v>
      </c>
      <c r="R595">
        <v>8.9599999999999999E-2</v>
      </c>
      <c r="S595">
        <v>0</v>
      </c>
      <c r="T595">
        <v>27</v>
      </c>
      <c r="U595">
        <v>27</v>
      </c>
    </row>
    <row r="596" spans="1:21" x14ac:dyDescent="0.3">
      <c r="A596">
        <v>595</v>
      </c>
      <c r="B596" t="s">
        <v>58</v>
      </c>
      <c r="C596" t="str">
        <f t="shared" si="37"/>
        <v>27-Jan-2011</v>
      </c>
      <c r="D596">
        <v>1</v>
      </c>
      <c r="E596">
        <v>0</v>
      </c>
      <c r="F596">
        <v>1</v>
      </c>
      <c r="G596" t="str">
        <f t="shared" si="36"/>
        <v>Jan</v>
      </c>
      <c r="H596">
        <v>23</v>
      </c>
      <c r="I596">
        <f t="shared" si="38"/>
        <v>1</v>
      </c>
      <c r="J596" t="s">
        <v>126</v>
      </c>
      <c r="K596">
        <v>4</v>
      </c>
      <c r="L596" t="str">
        <f t="shared" si="39"/>
        <v>Weekday</v>
      </c>
      <c r="M596">
        <v>1</v>
      </c>
      <c r="N596" t="str" cm="1">
        <f t="array" ref="N596">_xlfn.IFS(M596=1,"Sunny Day",M596=2,"Cloudy Day",M596=3,"Rainy Day",M596=4,"Heavy Rain")</f>
        <v>Sunny Day</v>
      </c>
      <c r="O596">
        <v>0.18</v>
      </c>
      <c r="P596">
        <v>0.19700000000000001</v>
      </c>
      <c r="Q596">
        <v>0.8</v>
      </c>
      <c r="R596">
        <v>0.16420000000000001</v>
      </c>
      <c r="S596">
        <v>0</v>
      </c>
      <c r="T596">
        <v>16</v>
      </c>
      <c r="U596">
        <v>16</v>
      </c>
    </row>
    <row r="597" spans="1:21" x14ac:dyDescent="0.3">
      <c r="A597">
        <v>596</v>
      </c>
      <c r="B597" t="s">
        <v>60</v>
      </c>
      <c r="C597" t="str">
        <f t="shared" si="37"/>
        <v>28-Jan-2011</v>
      </c>
      <c r="D597">
        <v>1</v>
      </c>
      <c r="E597">
        <v>0</v>
      </c>
      <c r="F597">
        <v>1</v>
      </c>
      <c r="G597" t="str">
        <f t="shared" si="36"/>
        <v>Jan</v>
      </c>
      <c r="H597">
        <v>0</v>
      </c>
      <c r="I597">
        <f t="shared" si="38"/>
        <v>0</v>
      </c>
      <c r="J597" t="s">
        <v>126</v>
      </c>
      <c r="K597">
        <v>5</v>
      </c>
      <c r="L597" t="str">
        <f t="shared" si="39"/>
        <v>Weekday</v>
      </c>
      <c r="M597">
        <v>2</v>
      </c>
      <c r="N597" t="str" cm="1">
        <f t="array" ref="N597">_xlfn.IFS(M597=1,"Sunny Day",M597=2,"Cloudy Day",M597=3,"Rainy Day",M597=4,"Heavy Rain")</f>
        <v>Cloudy Day</v>
      </c>
      <c r="O597">
        <v>0.2</v>
      </c>
      <c r="P597">
        <v>0.21210000000000001</v>
      </c>
      <c r="Q597">
        <v>0.75</v>
      </c>
      <c r="R597">
        <v>0.1343</v>
      </c>
      <c r="S597">
        <v>0</v>
      </c>
      <c r="T597">
        <v>9</v>
      </c>
      <c r="U597">
        <v>9</v>
      </c>
    </row>
    <row r="598" spans="1:21" x14ac:dyDescent="0.3">
      <c r="A598">
        <v>597</v>
      </c>
      <c r="B598" t="s">
        <v>60</v>
      </c>
      <c r="C598" t="str">
        <f t="shared" si="37"/>
        <v>28-Jan-2011</v>
      </c>
      <c r="D598">
        <v>1</v>
      </c>
      <c r="E598">
        <v>0</v>
      </c>
      <c r="F598">
        <v>1</v>
      </c>
      <c r="G598" t="str">
        <f t="shared" si="36"/>
        <v>Jan</v>
      </c>
      <c r="H598">
        <v>1</v>
      </c>
      <c r="I598">
        <f t="shared" si="38"/>
        <v>0</v>
      </c>
      <c r="J598" t="s">
        <v>126</v>
      </c>
      <c r="K598">
        <v>5</v>
      </c>
      <c r="L598" t="str">
        <f t="shared" si="39"/>
        <v>Weekday</v>
      </c>
      <c r="M598">
        <v>2</v>
      </c>
      <c r="N598" t="str" cm="1">
        <f t="array" ref="N598">_xlfn.IFS(M598=1,"Sunny Day",M598=2,"Cloudy Day",M598=3,"Rainy Day",M598=4,"Heavy Rain")</f>
        <v>Cloudy Day</v>
      </c>
      <c r="O598">
        <v>0.2</v>
      </c>
      <c r="P598">
        <v>0.21210000000000001</v>
      </c>
      <c r="Q598">
        <v>0.75</v>
      </c>
      <c r="R598">
        <v>0.1343</v>
      </c>
      <c r="S598">
        <v>1</v>
      </c>
      <c r="T598">
        <v>2</v>
      </c>
      <c r="U598">
        <v>3</v>
      </c>
    </row>
    <row r="599" spans="1:21" x14ac:dyDescent="0.3">
      <c r="A599">
        <v>598</v>
      </c>
      <c r="B599" t="s">
        <v>60</v>
      </c>
      <c r="C599" t="str">
        <f t="shared" si="37"/>
        <v>28-Jan-2011</v>
      </c>
      <c r="D599">
        <v>1</v>
      </c>
      <c r="E599">
        <v>0</v>
      </c>
      <c r="F599">
        <v>1</v>
      </c>
      <c r="G599" t="str">
        <f t="shared" si="36"/>
        <v>Jan</v>
      </c>
      <c r="H599">
        <v>2</v>
      </c>
      <c r="I599">
        <f t="shared" si="38"/>
        <v>0</v>
      </c>
      <c r="J599" t="s">
        <v>126</v>
      </c>
      <c r="K599">
        <v>5</v>
      </c>
      <c r="L599" t="str">
        <f t="shared" si="39"/>
        <v>Weekday</v>
      </c>
      <c r="M599">
        <v>2</v>
      </c>
      <c r="N599" t="str" cm="1">
        <f t="array" ref="N599">_xlfn.IFS(M599=1,"Sunny Day",M599=2,"Cloudy Day",M599=3,"Rainy Day",M599=4,"Heavy Rain")</f>
        <v>Cloudy Day</v>
      </c>
      <c r="O599">
        <v>0.2</v>
      </c>
      <c r="P599">
        <v>0.21210000000000001</v>
      </c>
      <c r="Q599">
        <v>0.75</v>
      </c>
      <c r="R599">
        <v>0.16420000000000001</v>
      </c>
      <c r="S599">
        <v>0</v>
      </c>
      <c r="T599">
        <v>2</v>
      </c>
      <c r="U599">
        <v>2</v>
      </c>
    </row>
    <row r="600" spans="1:21" x14ac:dyDescent="0.3">
      <c r="A600">
        <v>599</v>
      </c>
      <c r="B600" t="s">
        <v>60</v>
      </c>
      <c r="C600" t="str">
        <f t="shared" si="37"/>
        <v>28-Jan-2011</v>
      </c>
      <c r="D600">
        <v>1</v>
      </c>
      <c r="E600">
        <v>0</v>
      </c>
      <c r="F600">
        <v>1</v>
      </c>
      <c r="G600" t="str">
        <f t="shared" si="36"/>
        <v>Jan</v>
      </c>
      <c r="H600">
        <v>3</v>
      </c>
      <c r="I600">
        <f t="shared" si="38"/>
        <v>0</v>
      </c>
      <c r="J600" t="s">
        <v>126</v>
      </c>
      <c r="K600">
        <v>5</v>
      </c>
      <c r="L600" t="str">
        <f t="shared" si="39"/>
        <v>Weekday</v>
      </c>
      <c r="M600">
        <v>2</v>
      </c>
      <c r="N600" t="str" cm="1">
        <f t="array" ref="N600">_xlfn.IFS(M600=1,"Sunny Day",M600=2,"Cloudy Day",M600=3,"Rainy Day",M600=4,"Heavy Rain")</f>
        <v>Cloudy Day</v>
      </c>
      <c r="O600">
        <v>0.2</v>
      </c>
      <c r="P600">
        <v>0.2273</v>
      </c>
      <c r="Q600">
        <v>0.75</v>
      </c>
      <c r="R600">
        <v>0.1045</v>
      </c>
      <c r="S600">
        <v>1</v>
      </c>
      <c r="T600">
        <v>0</v>
      </c>
      <c r="U600">
        <v>1</v>
      </c>
    </row>
    <row r="601" spans="1:21" x14ac:dyDescent="0.3">
      <c r="A601">
        <v>600</v>
      </c>
      <c r="B601" t="s">
        <v>60</v>
      </c>
      <c r="C601" t="str">
        <f t="shared" si="37"/>
        <v>28-Jan-2011</v>
      </c>
      <c r="D601">
        <v>1</v>
      </c>
      <c r="E601">
        <v>0</v>
      </c>
      <c r="F601">
        <v>1</v>
      </c>
      <c r="G601" t="str">
        <f t="shared" si="36"/>
        <v>Jan</v>
      </c>
      <c r="H601">
        <v>5</v>
      </c>
      <c r="I601">
        <f t="shared" si="38"/>
        <v>0</v>
      </c>
      <c r="J601" t="s">
        <v>126</v>
      </c>
      <c r="K601">
        <v>5</v>
      </c>
      <c r="L601" t="str">
        <f t="shared" si="39"/>
        <v>Weekday</v>
      </c>
      <c r="M601">
        <v>2</v>
      </c>
      <c r="N601" t="str" cm="1">
        <f t="array" ref="N601">_xlfn.IFS(M601=1,"Sunny Day",M601=2,"Cloudy Day",M601=3,"Rainy Day",M601=4,"Heavy Rain")</f>
        <v>Cloudy Day</v>
      </c>
      <c r="O601">
        <v>0.18</v>
      </c>
      <c r="P601">
        <v>0.21210000000000001</v>
      </c>
      <c r="Q601">
        <v>0.8</v>
      </c>
      <c r="R601">
        <v>0.1045</v>
      </c>
      <c r="S601">
        <v>0</v>
      </c>
      <c r="T601">
        <v>4</v>
      </c>
      <c r="U601">
        <v>4</v>
      </c>
    </row>
    <row r="602" spans="1:21" x14ac:dyDescent="0.3">
      <c r="A602">
        <v>601</v>
      </c>
      <c r="B602" t="s">
        <v>60</v>
      </c>
      <c r="C602" t="str">
        <f t="shared" si="37"/>
        <v>28-Jan-2011</v>
      </c>
      <c r="D602">
        <v>1</v>
      </c>
      <c r="E602">
        <v>0</v>
      </c>
      <c r="F602">
        <v>1</v>
      </c>
      <c r="G602" t="str">
        <f t="shared" si="36"/>
        <v>Jan</v>
      </c>
      <c r="H602">
        <v>6</v>
      </c>
      <c r="I602">
        <f t="shared" si="38"/>
        <v>0</v>
      </c>
      <c r="J602" t="s">
        <v>126</v>
      </c>
      <c r="K602">
        <v>5</v>
      </c>
      <c r="L602" t="str">
        <f t="shared" si="39"/>
        <v>Weekday</v>
      </c>
      <c r="M602">
        <v>2</v>
      </c>
      <c r="N602" t="str" cm="1">
        <f t="array" ref="N602">_xlfn.IFS(M602=1,"Sunny Day",M602=2,"Cloudy Day",M602=3,"Rainy Day",M602=4,"Heavy Rain")</f>
        <v>Cloudy Day</v>
      </c>
      <c r="O602">
        <v>0.18</v>
      </c>
      <c r="P602">
        <v>0.19700000000000001</v>
      </c>
      <c r="Q602">
        <v>0.8</v>
      </c>
      <c r="R602">
        <v>0.1343</v>
      </c>
      <c r="S602">
        <v>0</v>
      </c>
      <c r="T602">
        <v>16</v>
      </c>
      <c r="U602">
        <v>16</v>
      </c>
    </row>
    <row r="603" spans="1:21" x14ac:dyDescent="0.3">
      <c r="A603">
        <v>602</v>
      </c>
      <c r="B603" t="s">
        <v>60</v>
      </c>
      <c r="C603" t="str">
        <f t="shared" si="37"/>
        <v>28-Jan-2011</v>
      </c>
      <c r="D603">
        <v>1</v>
      </c>
      <c r="E603">
        <v>0</v>
      </c>
      <c r="F603">
        <v>1</v>
      </c>
      <c r="G603" t="str">
        <f t="shared" si="36"/>
        <v>Jan</v>
      </c>
      <c r="H603">
        <v>7</v>
      </c>
      <c r="I603">
        <f t="shared" si="38"/>
        <v>0</v>
      </c>
      <c r="J603" t="s">
        <v>126</v>
      </c>
      <c r="K603">
        <v>5</v>
      </c>
      <c r="L603" t="str">
        <f t="shared" si="39"/>
        <v>Weekday</v>
      </c>
      <c r="M603">
        <v>2</v>
      </c>
      <c r="N603" t="str" cm="1">
        <f t="array" ref="N603">_xlfn.IFS(M603=1,"Sunny Day",M603=2,"Cloudy Day",M603=3,"Rainy Day",M603=4,"Heavy Rain")</f>
        <v>Cloudy Day</v>
      </c>
      <c r="O603">
        <v>0.16</v>
      </c>
      <c r="P603">
        <v>0.19700000000000001</v>
      </c>
      <c r="Q603">
        <v>0.86</v>
      </c>
      <c r="R603">
        <v>8.9599999999999999E-2</v>
      </c>
      <c r="S603">
        <v>2</v>
      </c>
      <c r="T603">
        <v>58</v>
      </c>
      <c r="U603">
        <v>60</v>
      </c>
    </row>
    <row r="604" spans="1:21" x14ac:dyDescent="0.3">
      <c r="A604">
        <v>603</v>
      </c>
      <c r="B604" t="s">
        <v>60</v>
      </c>
      <c r="C604" t="str">
        <f t="shared" si="37"/>
        <v>28-Jan-2011</v>
      </c>
      <c r="D604">
        <v>1</v>
      </c>
      <c r="E604">
        <v>0</v>
      </c>
      <c r="F604">
        <v>1</v>
      </c>
      <c r="G604" t="str">
        <f t="shared" si="36"/>
        <v>Jan</v>
      </c>
      <c r="H604">
        <v>8</v>
      </c>
      <c r="I604">
        <f t="shared" si="38"/>
        <v>0</v>
      </c>
      <c r="J604" t="s">
        <v>126</v>
      </c>
      <c r="K604">
        <v>5</v>
      </c>
      <c r="L604" t="str">
        <f t="shared" si="39"/>
        <v>Weekday</v>
      </c>
      <c r="M604">
        <v>2</v>
      </c>
      <c r="N604" t="str" cm="1">
        <f t="array" ref="N604">_xlfn.IFS(M604=1,"Sunny Day",M604=2,"Cloudy Day",M604=3,"Rainy Day",M604=4,"Heavy Rain")</f>
        <v>Cloudy Day</v>
      </c>
      <c r="O604">
        <v>0.16</v>
      </c>
      <c r="P604">
        <v>0.19700000000000001</v>
      </c>
      <c r="Q604">
        <v>0.86</v>
      </c>
      <c r="R604">
        <v>8.9599999999999999E-2</v>
      </c>
      <c r="S604">
        <v>2</v>
      </c>
      <c r="T604">
        <v>155</v>
      </c>
      <c r="U604">
        <v>157</v>
      </c>
    </row>
    <row r="605" spans="1:21" x14ac:dyDescent="0.3">
      <c r="A605">
        <v>604</v>
      </c>
      <c r="B605" t="s">
        <v>60</v>
      </c>
      <c r="C605" t="str">
        <f t="shared" si="37"/>
        <v>28-Jan-2011</v>
      </c>
      <c r="D605">
        <v>1</v>
      </c>
      <c r="E605">
        <v>0</v>
      </c>
      <c r="F605">
        <v>1</v>
      </c>
      <c r="G605" t="str">
        <f t="shared" si="36"/>
        <v>Jan</v>
      </c>
      <c r="H605">
        <v>9</v>
      </c>
      <c r="I605">
        <f t="shared" si="38"/>
        <v>0</v>
      </c>
      <c r="J605" t="s">
        <v>126</v>
      </c>
      <c r="K605">
        <v>5</v>
      </c>
      <c r="L605" t="str">
        <f t="shared" si="39"/>
        <v>Weekday</v>
      </c>
      <c r="M605">
        <v>3</v>
      </c>
      <c r="N605" t="str" cm="1">
        <f t="array" ref="N605">_xlfn.IFS(M605=1,"Sunny Day",M605=2,"Cloudy Day",M605=3,"Rainy Day",M605=4,"Heavy Rain")</f>
        <v>Rainy Day</v>
      </c>
      <c r="O605">
        <v>0.18</v>
      </c>
      <c r="P605">
        <v>0.21210000000000001</v>
      </c>
      <c r="Q605">
        <v>0.86</v>
      </c>
      <c r="R605">
        <v>8.9599999999999999E-2</v>
      </c>
      <c r="S605">
        <v>6</v>
      </c>
      <c r="T605">
        <v>95</v>
      </c>
      <c r="U605">
        <v>101</v>
      </c>
    </row>
    <row r="606" spans="1:21" x14ac:dyDescent="0.3">
      <c r="A606">
        <v>605</v>
      </c>
      <c r="B606" t="s">
        <v>60</v>
      </c>
      <c r="C606" t="str">
        <f t="shared" si="37"/>
        <v>28-Jan-2011</v>
      </c>
      <c r="D606">
        <v>1</v>
      </c>
      <c r="E606">
        <v>0</v>
      </c>
      <c r="F606">
        <v>1</v>
      </c>
      <c r="G606" t="str">
        <f t="shared" si="36"/>
        <v>Jan</v>
      </c>
      <c r="H606">
        <v>10</v>
      </c>
      <c r="I606">
        <f t="shared" si="38"/>
        <v>0</v>
      </c>
      <c r="J606" t="s">
        <v>126</v>
      </c>
      <c r="K606">
        <v>5</v>
      </c>
      <c r="L606" t="str">
        <f t="shared" si="39"/>
        <v>Weekday</v>
      </c>
      <c r="M606">
        <v>3</v>
      </c>
      <c r="N606" t="str" cm="1">
        <f t="array" ref="N606">_xlfn.IFS(M606=1,"Sunny Day",M606=2,"Cloudy Day",M606=3,"Rainy Day",M606=4,"Heavy Rain")</f>
        <v>Rainy Day</v>
      </c>
      <c r="O606">
        <v>0.18</v>
      </c>
      <c r="P606">
        <v>0.21210000000000001</v>
      </c>
      <c r="Q606">
        <v>0.86</v>
      </c>
      <c r="R606">
        <v>0.1045</v>
      </c>
      <c r="S606">
        <v>0</v>
      </c>
      <c r="T606">
        <v>49</v>
      </c>
      <c r="U606">
        <v>49</v>
      </c>
    </row>
    <row r="607" spans="1:21" x14ac:dyDescent="0.3">
      <c r="A607">
        <v>606</v>
      </c>
      <c r="B607" t="s">
        <v>60</v>
      </c>
      <c r="C607" t="str">
        <f t="shared" si="37"/>
        <v>28-Jan-2011</v>
      </c>
      <c r="D607">
        <v>1</v>
      </c>
      <c r="E607">
        <v>0</v>
      </c>
      <c r="F607">
        <v>1</v>
      </c>
      <c r="G607" t="str">
        <f t="shared" si="36"/>
        <v>Jan</v>
      </c>
      <c r="H607">
        <v>11</v>
      </c>
      <c r="I607">
        <f t="shared" si="38"/>
        <v>1</v>
      </c>
      <c r="J607" t="s">
        <v>126</v>
      </c>
      <c r="K607">
        <v>5</v>
      </c>
      <c r="L607" t="str">
        <f t="shared" si="39"/>
        <v>Weekday</v>
      </c>
      <c r="M607">
        <v>3</v>
      </c>
      <c r="N607" t="str" cm="1">
        <f t="array" ref="N607">_xlfn.IFS(M607=1,"Sunny Day",M607=2,"Cloudy Day",M607=3,"Rainy Day",M607=4,"Heavy Rain")</f>
        <v>Rainy Day</v>
      </c>
      <c r="O607">
        <v>0.18</v>
      </c>
      <c r="P607">
        <v>0.21210000000000001</v>
      </c>
      <c r="Q607">
        <v>0.93</v>
      </c>
      <c r="R607">
        <v>0.1045</v>
      </c>
      <c r="S607">
        <v>0</v>
      </c>
      <c r="T607">
        <v>30</v>
      </c>
      <c r="U607">
        <v>30</v>
      </c>
    </row>
    <row r="608" spans="1:21" x14ac:dyDescent="0.3">
      <c r="A608">
        <v>607</v>
      </c>
      <c r="B608" t="s">
        <v>60</v>
      </c>
      <c r="C608" t="str">
        <f t="shared" si="37"/>
        <v>28-Jan-2011</v>
      </c>
      <c r="D608">
        <v>1</v>
      </c>
      <c r="E608">
        <v>0</v>
      </c>
      <c r="F608">
        <v>1</v>
      </c>
      <c r="G608" t="str">
        <f t="shared" si="36"/>
        <v>Jan</v>
      </c>
      <c r="H608">
        <v>12</v>
      </c>
      <c r="I608">
        <f t="shared" si="38"/>
        <v>1</v>
      </c>
      <c r="J608" t="s">
        <v>126</v>
      </c>
      <c r="K608">
        <v>5</v>
      </c>
      <c r="L608" t="str">
        <f t="shared" si="39"/>
        <v>Weekday</v>
      </c>
      <c r="M608">
        <v>3</v>
      </c>
      <c r="N608" t="str" cm="1">
        <f t="array" ref="N608">_xlfn.IFS(M608=1,"Sunny Day",M608=2,"Cloudy Day",M608=3,"Rainy Day",M608=4,"Heavy Rain")</f>
        <v>Rainy Day</v>
      </c>
      <c r="O608">
        <v>0.18</v>
      </c>
      <c r="P608">
        <v>0.21210000000000001</v>
      </c>
      <c r="Q608">
        <v>0.93</v>
      </c>
      <c r="R608">
        <v>0.1045</v>
      </c>
      <c r="S608">
        <v>1</v>
      </c>
      <c r="T608">
        <v>28</v>
      </c>
      <c r="U608">
        <v>29</v>
      </c>
    </row>
    <row r="609" spans="1:21" x14ac:dyDescent="0.3">
      <c r="A609">
        <v>608</v>
      </c>
      <c r="B609" t="s">
        <v>60</v>
      </c>
      <c r="C609" t="str">
        <f t="shared" si="37"/>
        <v>28-Jan-2011</v>
      </c>
      <c r="D609">
        <v>1</v>
      </c>
      <c r="E609">
        <v>0</v>
      </c>
      <c r="F609">
        <v>1</v>
      </c>
      <c r="G609" t="str">
        <f t="shared" si="36"/>
        <v>Jan</v>
      </c>
      <c r="H609">
        <v>13</v>
      </c>
      <c r="I609">
        <f t="shared" si="38"/>
        <v>1</v>
      </c>
      <c r="J609" t="s">
        <v>126</v>
      </c>
      <c r="K609">
        <v>5</v>
      </c>
      <c r="L609" t="str">
        <f t="shared" si="39"/>
        <v>Weekday</v>
      </c>
      <c r="M609">
        <v>3</v>
      </c>
      <c r="N609" t="str" cm="1">
        <f t="array" ref="N609">_xlfn.IFS(M609=1,"Sunny Day",M609=2,"Cloudy Day",M609=3,"Rainy Day",M609=4,"Heavy Rain")</f>
        <v>Rainy Day</v>
      </c>
      <c r="O609">
        <v>0.18</v>
      </c>
      <c r="P609">
        <v>0.21210000000000001</v>
      </c>
      <c r="Q609">
        <v>0.93</v>
      </c>
      <c r="R609">
        <v>0.1045</v>
      </c>
      <c r="S609">
        <v>0</v>
      </c>
      <c r="T609">
        <v>31</v>
      </c>
      <c r="U609">
        <v>31</v>
      </c>
    </row>
    <row r="610" spans="1:21" x14ac:dyDescent="0.3">
      <c r="A610">
        <v>609</v>
      </c>
      <c r="B610" t="s">
        <v>60</v>
      </c>
      <c r="C610" t="str">
        <f t="shared" si="37"/>
        <v>28-Jan-2011</v>
      </c>
      <c r="D610">
        <v>1</v>
      </c>
      <c r="E610">
        <v>0</v>
      </c>
      <c r="F610">
        <v>1</v>
      </c>
      <c r="G610" t="str">
        <f t="shared" si="36"/>
        <v>Jan</v>
      </c>
      <c r="H610">
        <v>14</v>
      </c>
      <c r="I610">
        <f t="shared" si="38"/>
        <v>1</v>
      </c>
      <c r="J610" t="s">
        <v>126</v>
      </c>
      <c r="K610">
        <v>5</v>
      </c>
      <c r="L610" t="str">
        <f t="shared" si="39"/>
        <v>Weekday</v>
      </c>
      <c r="M610">
        <v>3</v>
      </c>
      <c r="N610" t="str" cm="1">
        <f t="array" ref="N610">_xlfn.IFS(M610=1,"Sunny Day",M610=2,"Cloudy Day",M610=3,"Rainy Day",M610=4,"Heavy Rain")</f>
        <v>Rainy Day</v>
      </c>
      <c r="O610">
        <v>0.22</v>
      </c>
      <c r="P610">
        <v>0.2727</v>
      </c>
      <c r="Q610">
        <v>0.8</v>
      </c>
      <c r="R610">
        <v>0</v>
      </c>
      <c r="S610">
        <v>2</v>
      </c>
      <c r="T610">
        <v>36</v>
      </c>
      <c r="U610">
        <v>38</v>
      </c>
    </row>
    <row r="611" spans="1:21" x14ac:dyDescent="0.3">
      <c r="A611">
        <v>610</v>
      </c>
      <c r="B611" t="s">
        <v>60</v>
      </c>
      <c r="C611" t="str">
        <f t="shared" si="37"/>
        <v>28-Jan-2011</v>
      </c>
      <c r="D611">
        <v>1</v>
      </c>
      <c r="E611">
        <v>0</v>
      </c>
      <c r="F611">
        <v>1</v>
      </c>
      <c r="G611" t="str">
        <f t="shared" si="36"/>
        <v>Jan</v>
      </c>
      <c r="H611">
        <v>15</v>
      </c>
      <c r="I611">
        <f t="shared" si="38"/>
        <v>1</v>
      </c>
      <c r="J611" t="s">
        <v>126</v>
      </c>
      <c r="K611">
        <v>5</v>
      </c>
      <c r="L611" t="str">
        <f t="shared" si="39"/>
        <v>Weekday</v>
      </c>
      <c r="M611">
        <v>2</v>
      </c>
      <c r="N611" t="str" cm="1">
        <f t="array" ref="N611">_xlfn.IFS(M611=1,"Sunny Day",M611=2,"Cloudy Day",M611=3,"Rainy Day",M611=4,"Heavy Rain")</f>
        <v>Cloudy Day</v>
      </c>
      <c r="O611">
        <v>0.2</v>
      </c>
      <c r="P611">
        <v>0.2576</v>
      </c>
      <c r="Q611">
        <v>0.86</v>
      </c>
      <c r="R611">
        <v>0</v>
      </c>
      <c r="S611">
        <v>1</v>
      </c>
      <c r="T611">
        <v>40</v>
      </c>
      <c r="U611">
        <v>41</v>
      </c>
    </row>
    <row r="612" spans="1:21" x14ac:dyDescent="0.3">
      <c r="A612">
        <v>620</v>
      </c>
      <c r="B612" t="s">
        <v>62</v>
      </c>
      <c r="C612" t="str">
        <f t="shared" si="37"/>
        <v>29-Jan-2011</v>
      </c>
      <c r="D612">
        <v>1</v>
      </c>
      <c r="E612">
        <v>0</v>
      </c>
      <c r="F612">
        <v>1</v>
      </c>
      <c r="G612" t="str">
        <f t="shared" si="36"/>
        <v>Jan</v>
      </c>
      <c r="H612">
        <v>1</v>
      </c>
      <c r="I612">
        <f t="shared" si="38"/>
        <v>0</v>
      </c>
      <c r="J612" t="s">
        <v>125</v>
      </c>
      <c r="K612">
        <v>6</v>
      </c>
      <c r="L612" t="str">
        <f t="shared" si="39"/>
        <v>Weekend</v>
      </c>
      <c r="M612">
        <v>1</v>
      </c>
      <c r="N612" t="str" cm="1">
        <f t="array" ref="N612">_xlfn.IFS(M612=1,"Sunny Day",M612=2,"Cloudy Day",M612=3,"Rainy Day",M612=4,"Heavy Rain")</f>
        <v>Sunny Day</v>
      </c>
      <c r="O612">
        <v>0.22</v>
      </c>
      <c r="P612">
        <v>0.2273</v>
      </c>
      <c r="Q612">
        <v>0.64</v>
      </c>
      <c r="R612">
        <v>0.19400000000000001</v>
      </c>
      <c r="S612">
        <v>0</v>
      </c>
      <c r="T612">
        <v>20</v>
      </c>
      <c r="U612">
        <v>20</v>
      </c>
    </row>
    <row r="613" spans="1:21" x14ac:dyDescent="0.3">
      <c r="A613">
        <v>621</v>
      </c>
      <c r="B613" t="s">
        <v>62</v>
      </c>
      <c r="C613" t="str">
        <f t="shared" si="37"/>
        <v>29-Jan-2011</v>
      </c>
      <c r="D613">
        <v>1</v>
      </c>
      <c r="E613">
        <v>0</v>
      </c>
      <c r="F613">
        <v>1</v>
      </c>
      <c r="G613" t="str">
        <f t="shared" si="36"/>
        <v>Jan</v>
      </c>
      <c r="H613">
        <v>2</v>
      </c>
      <c r="I613">
        <f t="shared" si="38"/>
        <v>0</v>
      </c>
      <c r="J613" t="s">
        <v>125</v>
      </c>
      <c r="K613">
        <v>6</v>
      </c>
      <c r="L613" t="str">
        <f t="shared" si="39"/>
        <v>Weekend</v>
      </c>
      <c r="M613">
        <v>1</v>
      </c>
      <c r="N613" t="str" cm="1">
        <f t="array" ref="N613">_xlfn.IFS(M613=1,"Sunny Day",M613=2,"Cloudy Day",M613=3,"Rainy Day",M613=4,"Heavy Rain")</f>
        <v>Sunny Day</v>
      </c>
      <c r="O613">
        <v>0.22</v>
      </c>
      <c r="P613">
        <v>0.2273</v>
      </c>
      <c r="Q613">
        <v>0.64</v>
      </c>
      <c r="R613">
        <v>0.16420000000000001</v>
      </c>
      <c r="S613">
        <v>0</v>
      </c>
      <c r="T613">
        <v>15</v>
      </c>
      <c r="U613">
        <v>15</v>
      </c>
    </row>
    <row r="614" spans="1:21" x14ac:dyDescent="0.3">
      <c r="A614">
        <v>622</v>
      </c>
      <c r="B614" t="s">
        <v>62</v>
      </c>
      <c r="C614" t="str">
        <f t="shared" si="37"/>
        <v>29-Jan-2011</v>
      </c>
      <c r="D614">
        <v>1</v>
      </c>
      <c r="E614">
        <v>0</v>
      </c>
      <c r="F614">
        <v>1</v>
      </c>
      <c r="G614" t="str">
        <f t="shared" si="36"/>
        <v>Jan</v>
      </c>
      <c r="H614">
        <v>3</v>
      </c>
      <c r="I614">
        <f t="shared" si="38"/>
        <v>0</v>
      </c>
      <c r="J614" t="s">
        <v>125</v>
      </c>
      <c r="K614">
        <v>6</v>
      </c>
      <c r="L614" t="str">
        <f t="shared" si="39"/>
        <v>Weekend</v>
      </c>
      <c r="M614">
        <v>1</v>
      </c>
      <c r="N614" t="str" cm="1">
        <f t="array" ref="N614">_xlfn.IFS(M614=1,"Sunny Day",M614=2,"Cloudy Day",M614=3,"Rainy Day",M614=4,"Heavy Rain")</f>
        <v>Sunny Day</v>
      </c>
      <c r="O614">
        <v>0.2</v>
      </c>
      <c r="P614">
        <v>0.21210000000000001</v>
      </c>
      <c r="Q614">
        <v>0.64</v>
      </c>
      <c r="R614">
        <v>0.1343</v>
      </c>
      <c r="S614">
        <v>3</v>
      </c>
      <c r="T614">
        <v>5</v>
      </c>
      <c r="U614">
        <v>8</v>
      </c>
    </row>
    <row r="615" spans="1:21" x14ac:dyDescent="0.3">
      <c r="A615">
        <v>623</v>
      </c>
      <c r="B615" t="s">
        <v>62</v>
      </c>
      <c r="C615" t="str">
        <f t="shared" si="37"/>
        <v>29-Jan-2011</v>
      </c>
      <c r="D615">
        <v>1</v>
      </c>
      <c r="E615">
        <v>0</v>
      </c>
      <c r="F615">
        <v>1</v>
      </c>
      <c r="G615" t="str">
        <f t="shared" si="36"/>
        <v>Jan</v>
      </c>
      <c r="H615">
        <v>4</v>
      </c>
      <c r="I615">
        <f t="shared" si="38"/>
        <v>0</v>
      </c>
      <c r="J615" t="s">
        <v>125</v>
      </c>
      <c r="K615">
        <v>6</v>
      </c>
      <c r="L615" t="str">
        <f t="shared" si="39"/>
        <v>Weekend</v>
      </c>
      <c r="M615">
        <v>1</v>
      </c>
      <c r="N615" t="str" cm="1">
        <f t="array" ref="N615">_xlfn.IFS(M615=1,"Sunny Day",M615=2,"Cloudy Day",M615=3,"Rainy Day",M615=4,"Heavy Rain")</f>
        <v>Sunny Day</v>
      </c>
      <c r="O615">
        <v>0.16</v>
      </c>
      <c r="P615">
        <v>0.18179999999999999</v>
      </c>
      <c r="Q615">
        <v>0.69</v>
      </c>
      <c r="R615">
        <v>0.1045</v>
      </c>
      <c r="S615">
        <v>1</v>
      </c>
      <c r="T615">
        <v>2</v>
      </c>
      <c r="U615">
        <v>3</v>
      </c>
    </row>
    <row r="616" spans="1:21" x14ac:dyDescent="0.3">
      <c r="A616">
        <v>624</v>
      </c>
      <c r="B616" t="s">
        <v>62</v>
      </c>
      <c r="C616" t="str">
        <f t="shared" si="37"/>
        <v>29-Jan-2011</v>
      </c>
      <c r="D616">
        <v>1</v>
      </c>
      <c r="E616">
        <v>0</v>
      </c>
      <c r="F616">
        <v>1</v>
      </c>
      <c r="G616" t="str">
        <f t="shared" si="36"/>
        <v>Jan</v>
      </c>
      <c r="H616">
        <v>6</v>
      </c>
      <c r="I616">
        <f t="shared" si="38"/>
        <v>0</v>
      </c>
      <c r="J616" t="s">
        <v>125</v>
      </c>
      <c r="K616">
        <v>6</v>
      </c>
      <c r="L616" t="str">
        <f t="shared" si="39"/>
        <v>Weekend</v>
      </c>
      <c r="M616">
        <v>1</v>
      </c>
      <c r="N616" t="str" cm="1">
        <f t="array" ref="N616">_xlfn.IFS(M616=1,"Sunny Day",M616=2,"Cloudy Day",M616=3,"Rainy Day",M616=4,"Heavy Rain")</f>
        <v>Sunny Day</v>
      </c>
      <c r="O616">
        <v>0.16</v>
      </c>
      <c r="P616">
        <v>0.18179999999999999</v>
      </c>
      <c r="Q616">
        <v>0.64</v>
      </c>
      <c r="R616">
        <v>0.1343</v>
      </c>
      <c r="S616">
        <v>0</v>
      </c>
      <c r="T616">
        <v>2</v>
      </c>
      <c r="U616">
        <v>2</v>
      </c>
    </row>
    <row r="617" spans="1:21" x14ac:dyDescent="0.3">
      <c r="A617">
        <v>625</v>
      </c>
      <c r="B617" t="s">
        <v>62</v>
      </c>
      <c r="C617" t="str">
        <f t="shared" si="37"/>
        <v>29-Jan-2011</v>
      </c>
      <c r="D617">
        <v>1</v>
      </c>
      <c r="E617">
        <v>0</v>
      </c>
      <c r="F617">
        <v>1</v>
      </c>
      <c r="G617" t="str">
        <f t="shared" si="36"/>
        <v>Jan</v>
      </c>
      <c r="H617">
        <v>7</v>
      </c>
      <c r="I617">
        <f t="shared" si="38"/>
        <v>0</v>
      </c>
      <c r="J617" t="s">
        <v>125</v>
      </c>
      <c r="K617">
        <v>6</v>
      </c>
      <c r="L617" t="str">
        <f t="shared" si="39"/>
        <v>Weekend</v>
      </c>
      <c r="M617">
        <v>1</v>
      </c>
      <c r="N617" t="str" cm="1">
        <f t="array" ref="N617">_xlfn.IFS(M617=1,"Sunny Day",M617=2,"Cloudy Day",M617=3,"Rainy Day",M617=4,"Heavy Rain")</f>
        <v>Sunny Day</v>
      </c>
      <c r="O617">
        <v>0.16</v>
      </c>
      <c r="P617">
        <v>0.18179999999999999</v>
      </c>
      <c r="Q617">
        <v>0.59</v>
      </c>
      <c r="R617">
        <v>0.1045</v>
      </c>
      <c r="S617">
        <v>1</v>
      </c>
      <c r="T617">
        <v>4</v>
      </c>
      <c r="U617">
        <v>5</v>
      </c>
    </row>
    <row r="618" spans="1:21" x14ac:dyDescent="0.3">
      <c r="A618">
        <v>626</v>
      </c>
      <c r="B618" t="s">
        <v>62</v>
      </c>
      <c r="C618" t="str">
        <f t="shared" si="37"/>
        <v>29-Jan-2011</v>
      </c>
      <c r="D618">
        <v>1</v>
      </c>
      <c r="E618">
        <v>0</v>
      </c>
      <c r="F618">
        <v>1</v>
      </c>
      <c r="G618" t="str">
        <f t="shared" si="36"/>
        <v>Jan</v>
      </c>
      <c r="H618">
        <v>8</v>
      </c>
      <c r="I618">
        <f t="shared" si="38"/>
        <v>0</v>
      </c>
      <c r="J618" t="s">
        <v>125</v>
      </c>
      <c r="K618">
        <v>6</v>
      </c>
      <c r="L618" t="str">
        <f t="shared" si="39"/>
        <v>Weekend</v>
      </c>
      <c r="M618">
        <v>1</v>
      </c>
      <c r="N618" t="str" cm="1">
        <f t="array" ref="N618">_xlfn.IFS(M618=1,"Sunny Day",M618=2,"Cloudy Day",M618=3,"Rainy Day",M618=4,"Heavy Rain")</f>
        <v>Sunny Day</v>
      </c>
      <c r="O618">
        <v>0.18</v>
      </c>
      <c r="P618">
        <v>0.19700000000000001</v>
      </c>
      <c r="Q618">
        <v>0.55000000000000004</v>
      </c>
      <c r="R618">
        <v>0.16420000000000001</v>
      </c>
      <c r="S618">
        <v>3</v>
      </c>
      <c r="T618">
        <v>31</v>
      </c>
      <c r="U618">
        <v>34</v>
      </c>
    </row>
    <row r="619" spans="1:21" x14ac:dyDescent="0.3">
      <c r="A619">
        <v>627</v>
      </c>
      <c r="B619" t="s">
        <v>62</v>
      </c>
      <c r="C619" t="str">
        <f t="shared" si="37"/>
        <v>29-Jan-2011</v>
      </c>
      <c r="D619">
        <v>1</v>
      </c>
      <c r="E619">
        <v>0</v>
      </c>
      <c r="F619">
        <v>1</v>
      </c>
      <c r="G619" t="str">
        <f t="shared" si="36"/>
        <v>Jan</v>
      </c>
      <c r="H619">
        <v>9</v>
      </c>
      <c r="I619">
        <f t="shared" si="38"/>
        <v>0</v>
      </c>
      <c r="J619" t="s">
        <v>125</v>
      </c>
      <c r="K619">
        <v>6</v>
      </c>
      <c r="L619" t="str">
        <f t="shared" si="39"/>
        <v>Weekend</v>
      </c>
      <c r="M619">
        <v>1</v>
      </c>
      <c r="N619" t="str" cm="1">
        <f t="array" ref="N619">_xlfn.IFS(M619=1,"Sunny Day",M619=2,"Cloudy Day",M619=3,"Rainy Day",M619=4,"Heavy Rain")</f>
        <v>Sunny Day</v>
      </c>
      <c r="O619">
        <v>0.18</v>
      </c>
      <c r="P619">
        <v>0.21210000000000001</v>
      </c>
      <c r="Q619">
        <v>0.59</v>
      </c>
      <c r="R619">
        <v>8.9599999999999999E-2</v>
      </c>
      <c r="S619">
        <v>0</v>
      </c>
      <c r="T619">
        <v>34</v>
      </c>
      <c r="U619">
        <v>34</v>
      </c>
    </row>
    <row r="620" spans="1:21" x14ac:dyDescent="0.3">
      <c r="A620">
        <v>628</v>
      </c>
      <c r="B620" t="s">
        <v>62</v>
      </c>
      <c r="C620" t="str">
        <f t="shared" si="37"/>
        <v>29-Jan-2011</v>
      </c>
      <c r="D620">
        <v>1</v>
      </c>
      <c r="E620">
        <v>0</v>
      </c>
      <c r="F620">
        <v>1</v>
      </c>
      <c r="G620" t="str">
        <f t="shared" si="36"/>
        <v>Jan</v>
      </c>
      <c r="H620">
        <v>10</v>
      </c>
      <c r="I620">
        <f t="shared" si="38"/>
        <v>0</v>
      </c>
      <c r="J620" t="s">
        <v>125</v>
      </c>
      <c r="K620">
        <v>6</v>
      </c>
      <c r="L620" t="str">
        <f t="shared" si="39"/>
        <v>Weekend</v>
      </c>
      <c r="M620">
        <v>2</v>
      </c>
      <c r="N620" t="str" cm="1">
        <f t="array" ref="N620">_xlfn.IFS(M620=1,"Sunny Day",M620=2,"Cloudy Day",M620=3,"Rainy Day",M620=4,"Heavy Rain")</f>
        <v>Cloudy Day</v>
      </c>
      <c r="O620">
        <v>0.18</v>
      </c>
      <c r="P620">
        <v>0.21210000000000001</v>
      </c>
      <c r="Q620">
        <v>0.64</v>
      </c>
      <c r="R620">
        <v>0.1045</v>
      </c>
      <c r="S620">
        <v>4</v>
      </c>
      <c r="T620">
        <v>51</v>
      </c>
      <c r="U620">
        <v>55</v>
      </c>
    </row>
    <row r="621" spans="1:21" x14ac:dyDescent="0.3">
      <c r="A621">
        <v>629</v>
      </c>
      <c r="B621" t="s">
        <v>62</v>
      </c>
      <c r="C621" t="str">
        <f t="shared" si="37"/>
        <v>29-Jan-2011</v>
      </c>
      <c r="D621">
        <v>1</v>
      </c>
      <c r="E621">
        <v>0</v>
      </c>
      <c r="F621">
        <v>1</v>
      </c>
      <c r="G621" t="str">
        <f t="shared" si="36"/>
        <v>Jan</v>
      </c>
      <c r="H621">
        <v>11</v>
      </c>
      <c r="I621">
        <f t="shared" si="38"/>
        <v>1</v>
      </c>
      <c r="J621" t="s">
        <v>125</v>
      </c>
      <c r="K621">
        <v>6</v>
      </c>
      <c r="L621" t="str">
        <f t="shared" si="39"/>
        <v>Weekend</v>
      </c>
      <c r="M621">
        <v>2</v>
      </c>
      <c r="N621" t="str" cm="1">
        <f t="array" ref="N621">_xlfn.IFS(M621=1,"Sunny Day",M621=2,"Cloudy Day",M621=3,"Rainy Day",M621=4,"Heavy Rain")</f>
        <v>Cloudy Day</v>
      </c>
      <c r="O621">
        <v>0.18</v>
      </c>
      <c r="P621">
        <v>0.19700000000000001</v>
      </c>
      <c r="Q621">
        <v>0.64</v>
      </c>
      <c r="R621">
        <v>0.1343</v>
      </c>
      <c r="S621">
        <v>4</v>
      </c>
      <c r="T621">
        <v>60</v>
      </c>
      <c r="U621">
        <v>64</v>
      </c>
    </row>
    <row r="622" spans="1:21" x14ac:dyDescent="0.3">
      <c r="A622">
        <v>630</v>
      </c>
      <c r="B622" t="s">
        <v>62</v>
      </c>
      <c r="C622" t="str">
        <f t="shared" si="37"/>
        <v>29-Jan-2011</v>
      </c>
      <c r="D622">
        <v>1</v>
      </c>
      <c r="E622">
        <v>0</v>
      </c>
      <c r="F622">
        <v>1</v>
      </c>
      <c r="G622" t="str">
        <f t="shared" si="36"/>
        <v>Jan</v>
      </c>
      <c r="H622">
        <v>12</v>
      </c>
      <c r="I622">
        <f t="shared" si="38"/>
        <v>1</v>
      </c>
      <c r="J622" t="s">
        <v>125</v>
      </c>
      <c r="K622">
        <v>6</v>
      </c>
      <c r="L622" t="str">
        <f t="shared" si="39"/>
        <v>Weekend</v>
      </c>
      <c r="M622">
        <v>2</v>
      </c>
      <c r="N622" t="str" cm="1">
        <f t="array" ref="N622">_xlfn.IFS(M622=1,"Sunny Day",M622=2,"Cloudy Day",M622=3,"Rainy Day",M622=4,"Heavy Rain")</f>
        <v>Cloudy Day</v>
      </c>
      <c r="O622">
        <v>0.2</v>
      </c>
      <c r="P622">
        <v>0.19700000000000001</v>
      </c>
      <c r="Q622">
        <v>0.59</v>
      </c>
      <c r="R622">
        <v>0.19400000000000001</v>
      </c>
      <c r="S622">
        <v>12</v>
      </c>
      <c r="T622">
        <v>66</v>
      </c>
      <c r="U622">
        <v>78</v>
      </c>
    </row>
    <row r="623" spans="1:21" x14ac:dyDescent="0.3">
      <c r="A623">
        <v>631</v>
      </c>
      <c r="B623" t="s">
        <v>62</v>
      </c>
      <c r="C623" t="str">
        <f t="shared" si="37"/>
        <v>29-Jan-2011</v>
      </c>
      <c r="D623">
        <v>1</v>
      </c>
      <c r="E623">
        <v>0</v>
      </c>
      <c r="F623">
        <v>1</v>
      </c>
      <c r="G623" t="str">
        <f t="shared" si="36"/>
        <v>Jan</v>
      </c>
      <c r="H623">
        <v>13</v>
      </c>
      <c r="I623">
        <f t="shared" si="38"/>
        <v>1</v>
      </c>
      <c r="J623" t="s">
        <v>125</v>
      </c>
      <c r="K623">
        <v>6</v>
      </c>
      <c r="L623" t="str">
        <f t="shared" si="39"/>
        <v>Weekend</v>
      </c>
      <c r="M623">
        <v>2</v>
      </c>
      <c r="N623" t="str" cm="1">
        <f t="array" ref="N623">_xlfn.IFS(M623=1,"Sunny Day",M623=2,"Cloudy Day",M623=3,"Rainy Day",M623=4,"Heavy Rain")</f>
        <v>Cloudy Day</v>
      </c>
      <c r="O623">
        <v>0.22</v>
      </c>
      <c r="P623">
        <v>0.2273</v>
      </c>
      <c r="Q623">
        <v>0.55000000000000004</v>
      </c>
      <c r="R623">
        <v>0.16420000000000001</v>
      </c>
      <c r="S623">
        <v>9</v>
      </c>
      <c r="T623">
        <v>56</v>
      </c>
      <c r="U623">
        <v>65</v>
      </c>
    </row>
    <row r="624" spans="1:21" x14ac:dyDescent="0.3">
      <c r="A624">
        <v>632</v>
      </c>
      <c r="B624" t="s">
        <v>62</v>
      </c>
      <c r="C624" t="str">
        <f t="shared" si="37"/>
        <v>29-Jan-2011</v>
      </c>
      <c r="D624">
        <v>1</v>
      </c>
      <c r="E624">
        <v>0</v>
      </c>
      <c r="F624">
        <v>1</v>
      </c>
      <c r="G624" t="str">
        <f t="shared" si="36"/>
        <v>Jan</v>
      </c>
      <c r="H624">
        <v>14</v>
      </c>
      <c r="I624">
        <f t="shared" si="38"/>
        <v>1</v>
      </c>
      <c r="J624" t="s">
        <v>125</v>
      </c>
      <c r="K624">
        <v>6</v>
      </c>
      <c r="L624" t="str">
        <f t="shared" si="39"/>
        <v>Weekend</v>
      </c>
      <c r="M624">
        <v>2</v>
      </c>
      <c r="N624" t="str" cm="1">
        <f t="array" ref="N624">_xlfn.IFS(M624=1,"Sunny Day",M624=2,"Cloudy Day",M624=3,"Rainy Day",M624=4,"Heavy Rain")</f>
        <v>Cloudy Day</v>
      </c>
      <c r="O624">
        <v>0.22</v>
      </c>
      <c r="P624">
        <v>0.2273</v>
      </c>
      <c r="Q624">
        <v>0.6</v>
      </c>
      <c r="R624">
        <v>0.1343</v>
      </c>
      <c r="S624">
        <v>10</v>
      </c>
      <c r="T624">
        <v>89</v>
      </c>
      <c r="U624">
        <v>99</v>
      </c>
    </row>
    <row r="625" spans="1:21" x14ac:dyDescent="0.3">
      <c r="A625">
        <v>633</v>
      </c>
      <c r="B625" t="s">
        <v>62</v>
      </c>
      <c r="C625" t="str">
        <f t="shared" si="37"/>
        <v>29-Jan-2011</v>
      </c>
      <c r="D625">
        <v>1</v>
      </c>
      <c r="E625">
        <v>0</v>
      </c>
      <c r="F625">
        <v>1</v>
      </c>
      <c r="G625" t="str">
        <f t="shared" si="36"/>
        <v>Jan</v>
      </c>
      <c r="H625">
        <v>15</v>
      </c>
      <c r="I625">
        <f t="shared" si="38"/>
        <v>1</v>
      </c>
      <c r="J625" t="s">
        <v>125</v>
      </c>
      <c r="K625">
        <v>6</v>
      </c>
      <c r="L625" t="str">
        <f t="shared" si="39"/>
        <v>Weekend</v>
      </c>
      <c r="M625">
        <v>1</v>
      </c>
      <c r="N625" t="str" cm="1">
        <f t="array" ref="N625">_xlfn.IFS(M625=1,"Sunny Day",M625=2,"Cloudy Day",M625=3,"Rainy Day",M625=4,"Heavy Rain")</f>
        <v>Sunny Day</v>
      </c>
      <c r="O625">
        <v>0.22</v>
      </c>
      <c r="P625">
        <v>0.21210000000000001</v>
      </c>
      <c r="Q625">
        <v>0.69</v>
      </c>
      <c r="R625">
        <v>0.25369999999999998</v>
      </c>
      <c r="S625">
        <v>22</v>
      </c>
      <c r="T625">
        <v>98</v>
      </c>
      <c r="U625">
        <v>120</v>
      </c>
    </row>
    <row r="626" spans="1:21" x14ac:dyDescent="0.3">
      <c r="A626">
        <v>634</v>
      </c>
      <c r="B626" t="s">
        <v>62</v>
      </c>
      <c r="C626" t="str">
        <f t="shared" si="37"/>
        <v>29-Jan-2011</v>
      </c>
      <c r="D626">
        <v>1</v>
      </c>
      <c r="E626">
        <v>0</v>
      </c>
      <c r="F626">
        <v>1</v>
      </c>
      <c r="G626" t="str">
        <f t="shared" si="36"/>
        <v>Jan</v>
      </c>
      <c r="H626">
        <v>16</v>
      </c>
      <c r="I626">
        <f t="shared" si="38"/>
        <v>1</v>
      </c>
      <c r="J626" t="s">
        <v>125</v>
      </c>
      <c r="K626">
        <v>6</v>
      </c>
      <c r="L626" t="str">
        <f t="shared" si="39"/>
        <v>Weekend</v>
      </c>
      <c r="M626">
        <v>1</v>
      </c>
      <c r="N626" t="str" cm="1">
        <f t="array" ref="N626">_xlfn.IFS(M626=1,"Sunny Day",M626=2,"Cloudy Day",M626=3,"Rainy Day",M626=4,"Heavy Rain")</f>
        <v>Sunny Day</v>
      </c>
      <c r="O626">
        <v>0.24</v>
      </c>
      <c r="P626">
        <v>0.2424</v>
      </c>
      <c r="Q626">
        <v>0.6</v>
      </c>
      <c r="R626">
        <v>0.16420000000000001</v>
      </c>
      <c r="S626">
        <v>19</v>
      </c>
      <c r="T626">
        <v>88</v>
      </c>
      <c r="U626">
        <v>107</v>
      </c>
    </row>
    <row r="627" spans="1:21" x14ac:dyDescent="0.3">
      <c r="A627">
        <v>635</v>
      </c>
      <c r="B627" t="s">
        <v>62</v>
      </c>
      <c r="C627" t="str">
        <f t="shared" si="37"/>
        <v>29-Jan-2011</v>
      </c>
      <c r="D627">
        <v>1</v>
      </c>
      <c r="E627">
        <v>0</v>
      </c>
      <c r="F627">
        <v>1</v>
      </c>
      <c r="G627" t="str">
        <f t="shared" si="36"/>
        <v>Jan</v>
      </c>
      <c r="H627">
        <v>17</v>
      </c>
      <c r="I627">
        <f t="shared" si="38"/>
        <v>1</v>
      </c>
      <c r="J627" t="s">
        <v>125</v>
      </c>
      <c r="K627">
        <v>6</v>
      </c>
      <c r="L627" t="str">
        <f t="shared" si="39"/>
        <v>Weekend</v>
      </c>
      <c r="M627">
        <v>1</v>
      </c>
      <c r="N627" t="str" cm="1">
        <f t="array" ref="N627">_xlfn.IFS(M627=1,"Sunny Day",M627=2,"Cloudy Day",M627=3,"Rainy Day",M627=4,"Heavy Rain")</f>
        <v>Sunny Day</v>
      </c>
      <c r="O627">
        <v>0.24</v>
      </c>
      <c r="P627">
        <v>0.28789999999999999</v>
      </c>
      <c r="Q627">
        <v>0.6</v>
      </c>
      <c r="R627">
        <v>0</v>
      </c>
      <c r="S627">
        <v>9</v>
      </c>
      <c r="T627">
        <v>82</v>
      </c>
      <c r="U627">
        <v>91</v>
      </c>
    </row>
    <row r="628" spans="1:21" x14ac:dyDescent="0.3">
      <c r="A628">
        <v>636</v>
      </c>
      <c r="B628" t="s">
        <v>62</v>
      </c>
      <c r="C628" t="str">
        <f t="shared" si="37"/>
        <v>29-Jan-2011</v>
      </c>
      <c r="D628">
        <v>1</v>
      </c>
      <c r="E628">
        <v>0</v>
      </c>
      <c r="F628">
        <v>1</v>
      </c>
      <c r="G628" t="str">
        <f t="shared" si="36"/>
        <v>Jan</v>
      </c>
      <c r="H628">
        <v>18</v>
      </c>
      <c r="I628">
        <f t="shared" si="38"/>
        <v>1</v>
      </c>
      <c r="J628" t="s">
        <v>125</v>
      </c>
      <c r="K628">
        <v>6</v>
      </c>
      <c r="L628" t="str">
        <f t="shared" si="39"/>
        <v>Weekend</v>
      </c>
      <c r="M628">
        <v>1</v>
      </c>
      <c r="N628" t="str" cm="1">
        <f t="array" ref="N628">_xlfn.IFS(M628=1,"Sunny Day",M628=2,"Cloudy Day",M628=3,"Rainy Day",M628=4,"Heavy Rain")</f>
        <v>Sunny Day</v>
      </c>
      <c r="O628">
        <v>0.22</v>
      </c>
      <c r="P628">
        <v>0.2273</v>
      </c>
      <c r="Q628">
        <v>0.69</v>
      </c>
      <c r="R628">
        <v>0.1343</v>
      </c>
      <c r="S628">
        <v>9</v>
      </c>
      <c r="T628">
        <v>59</v>
      </c>
      <c r="U628">
        <v>68</v>
      </c>
    </row>
    <row r="629" spans="1:21" x14ac:dyDescent="0.3">
      <c r="A629">
        <v>637</v>
      </c>
      <c r="B629" t="s">
        <v>62</v>
      </c>
      <c r="C629" t="str">
        <f t="shared" si="37"/>
        <v>29-Jan-2011</v>
      </c>
      <c r="D629">
        <v>1</v>
      </c>
      <c r="E629">
        <v>0</v>
      </c>
      <c r="F629">
        <v>1</v>
      </c>
      <c r="G629" t="str">
        <f t="shared" si="36"/>
        <v>Jan</v>
      </c>
      <c r="H629">
        <v>19</v>
      </c>
      <c r="I629">
        <f t="shared" si="38"/>
        <v>1</v>
      </c>
      <c r="J629" t="s">
        <v>125</v>
      </c>
      <c r="K629">
        <v>6</v>
      </c>
      <c r="L629" t="str">
        <f t="shared" si="39"/>
        <v>Weekend</v>
      </c>
      <c r="M629">
        <v>2</v>
      </c>
      <c r="N629" t="str" cm="1">
        <f t="array" ref="N629">_xlfn.IFS(M629=1,"Sunny Day",M629=2,"Cloudy Day",M629=3,"Rainy Day",M629=4,"Heavy Rain")</f>
        <v>Cloudy Day</v>
      </c>
      <c r="O629">
        <v>0.22</v>
      </c>
      <c r="P629">
        <v>0.21210000000000001</v>
      </c>
      <c r="Q629">
        <v>0.69</v>
      </c>
      <c r="R629">
        <v>0.25369999999999998</v>
      </c>
      <c r="S629">
        <v>6</v>
      </c>
      <c r="T629">
        <v>52</v>
      </c>
      <c r="U629">
        <v>58</v>
      </c>
    </row>
    <row r="630" spans="1:21" x14ac:dyDescent="0.3">
      <c r="A630">
        <v>638</v>
      </c>
      <c r="B630" t="s">
        <v>62</v>
      </c>
      <c r="C630" t="str">
        <f t="shared" si="37"/>
        <v>29-Jan-2011</v>
      </c>
      <c r="D630">
        <v>1</v>
      </c>
      <c r="E630">
        <v>0</v>
      </c>
      <c r="F630">
        <v>1</v>
      </c>
      <c r="G630" t="str">
        <f t="shared" si="36"/>
        <v>Jan</v>
      </c>
      <c r="H630">
        <v>20</v>
      </c>
      <c r="I630">
        <f t="shared" si="38"/>
        <v>1</v>
      </c>
      <c r="J630" t="s">
        <v>125</v>
      </c>
      <c r="K630">
        <v>6</v>
      </c>
      <c r="L630" t="str">
        <f t="shared" si="39"/>
        <v>Weekend</v>
      </c>
      <c r="M630">
        <v>1</v>
      </c>
      <c r="N630" t="str" cm="1">
        <f t="array" ref="N630">_xlfn.IFS(M630=1,"Sunny Day",M630=2,"Cloudy Day",M630=3,"Rainy Day",M630=4,"Heavy Rain")</f>
        <v>Sunny Day</v>
      </c>
      <c r="O630">
        <v>0.18</v>
      </c>
      <c r="P630">
        <v>0.21210000000000001</v>
      </c>
      <c r="Q630">
        <v>0.74</v>
      </c>
      <c r="R630">
        <v>8.9599999999999999E-2</v>
      </c>
      <c r="S630">
        <v>1</v>
      </c>
      <c r="T630">
        <v>42</v>
      </c>
      <c r="U630">
        <v>43</v>
      </c>
    </row>
    <row r="631" spans="1:21" x14ac:dyDescent="0.3">
      <c r="A631">
        <v>639</v>
      </c>
      <c r="B631" t="s">
        <v>62</v>
      </c>
      <c r="C631" t="str">
        <f t="shared" si="37"/>
        <v>29-Jan-2011</v>
      </c>
      <c r="D631">
        <v>1</v>
      </c>
      <c r="E631">
        <v>0</v>
      </c>
      <c r="F631">
        <v>1</v>
      </c>
      <c r="G631" t="str">
        <f t="shared" si="36"/>
        <v>Jan</v>
      </c>
      <c r="H631">
        <v>21</v>
      </c>
      <c r="I631">
        <f t="shared" si="38"/>
        <v>1</v>
      </c>
      <c r="J631" t="s">
        <v>125</v>
      </c>
      <c r="K631">
        <v>6</v>
      </c>
      <c r="L631" t="str">
        <f t="shared" si="39"/>
        <v>Weekend</v>
      </c>
      <c r="M631">
        <v>1</v>
      </c>
      <c r="N631" t="str" cm="1">
        <f t="array" ref="N631">_xlfn.IFS(M631=1,"Sunny Day",M631=2,"Cloudy Day",M631=3,"Rainy Day",M631=4,"Heavy Rain")</f>
        <v>Sunny Day</v>
      </c>
      <c r="O631">
        <v>0.18</v>
      </c>
      <c r="P631">
        <v>0.21210000000000001</v>
      </c>
      <c r="Q631">
        <v>0.74</v>
      </c>
      <c r="R631">
        <v>8.9599999999999999E-2</v>
      </c>
      <c r="S631">
        <v>1</v>
      </c>
      <c r="T631">
        <v>35</v>
      </c>
      <c r="U631">
        <v>36</v>
      </c>
    </row>
    <row r="632" spans="1:21" x14ac:dyDescent="0.3">
      <c r="A632">
        <v>640</v>
      </c>
      <c r="B632" t="s">
        <v>62</v>
      </c>
      <c r="C632" t="str">
        <f t="shared" si="37"/>
        <v>29-Jan-2011</v>
      </c>
      <c r="D632">
        <v>1</v>
      </c>
      <c r="E632">
        <v>0</v>
      </c>
      <c r="F632">
        <v>1</v>
      </c>
      <c r="G632" t="str">
        <f t="shared" si="36"/>
        <v>Jan</v>
      </c>
      <c r="H632">
        <v>22</v>
      </c>
      <c r="I632">
        <f t="shared" si="38"/>
        <v>1</v>
      </c>
      <c r="J632" t="s">
        <v>125</v>
      </c>
      <c r="K632">
        <v>6</v>
      </c>
      <c r="L632" t="str">
        <f t="shared" si="39"/>
        <v>Weekend</v>
      </c>
      <c r="M632">
        <v>1</v>
      </c>
      <c r="N632" t="str" cm="1">
        <f t="array" ref="N632">_xlfn.IFS(M632=1,"Sunny Day",M632=2,"Cloudy Day",M632=3,"Rainy Day",M632=4,"Heavy Rain")</f>
        <v>Sunny Day</v>
      </c>
      <c r="O632">
        <v>0.16</v>
      </c>
      <c r="P632">
        <v>0.19700000000000001</v>
      </c>
      <c r="Q632">
        <v>0.8</v>
      </c>
      <c r="R632">
        <v>8.9599999999999999E-2</v>
      </c>
      <c r="S632">
        <v>4</v>
      </c>
      <c r="T632">
        <v>28</v>
      </c>
      <c r="U632">
        <v>32</v>
      </c>
    </row>
    <row r="633" spans="1:21" x14ac:dyDescent="0.3">
      <c r="A633">
        <v>641</v>
      </c>
      <c r="B633" t="s">
        <v>62</v>
      </c>
      <c r="C633" t="str">
        <f t="shared" si="37"/>
        <v>29-Jan-2011</v>
      </c>
      <c r="D633">
        <v>1</v>
      </c>
      <c r="E633">
        <v>0</v>
      </c>
      <c r="F633">
        <v>1</v>
      </c>
      <c r="G633" t="str">
        <f t="shared" si="36"/>
        <v>Jan</v>
      </c>
      <c r="H633">
        <v>23</v>
      </c>
      <c r="I633">
        <f t="shared" si="38"/>
        <v>1</v>
      </c>
      <c r="J633" t="s">
        <v>125</v>
      </c>
      <c r="K633">
        <v>6</v>
      </c>
      <c r="L633" t="str">
        <f t="shared" si="39"/>
        <v>Weekend</v>
      </c>
      <c r="M633">
        <v>1</v>
      </c>
      <c r="N633" t="str" cm="1">
        <f t="array" ref="N633">_xlfn.IFS(M633=1,"Sunny Day",M633=2,"Cloudy Day",M633=3,"Rainy Day",M633=4,"Heavy Rain")</f>
        <v>Sunny Day</v>
      </c>
      <c r="O633">
        <v>0.16</v>
      </c>
      <c r="P633">
        <v>0.19700000000000001</v>
      </c>
      <c r="Q633">
        <v>0.8</v>
      </c>
      <c r="R633">
        <v>8.9599999999999999E-2</v>
      </c>
      <c r="S633">
        <v>3</v>
      </c>
      <c r="T633">
        <v>30</v>
      </c>
      <c r="U633">
        <v>33</v>
      </c>
    </row>
    <row r="634" spans="1:21" x14ac:dyDescent="0.3">
      <c r="A634">
        <v>642</v>
      </c>
      <c r="B634" t="s">
        <v>64</v>
      </c>
      <c r="C634" t="str">
        <f t="shared" si="37"/>
        <v>30-Jan-2011</v>
      </c>
      <c r="D634">
        <v>1</v>
      </c>
      <c r="E634">
        <v>0</v>
      </c>
      <c r="F634">
        <v>1</v>
      </c>
      <c r="G634" t="str">
        <f t="shared" si="36"/>
        <v>Jan</v>
      </c>
      <c r="H634">
        <v>0</v>
      </c>
      <c r="I634">
        <f t="shared" si="38"/>
        <v>0</v>
      </c>
      <c r="J634" t="s">
        <v>125</v>
      </c>
      <c r="K634">
        <v>0</v>
      </c>
      <c r="L634" t="str">
        <f t="shared" si="39"/>
        <v>Weekend</v>
      </c>
      <c r="M634">
        <v>1</v>
      </c>
      <c r="N634" t="str" cm="1">
        <f t="array" ref="N634">_xlfn.IFS(M634=1,"Sunny Day",M634=2,"Cloudy Day",M634=3,"Rainy Day",M634=4,"Heavy Rain")</f>
        <v>Sunny Day</v>
      </c>
      <c r="O634">
        <v>0.16</v>
      </c>
      <c r="P634">
        <v>0.18179999999999999</v>
      </c>
      <c r="Q634">
        <v>0.8</v>
      </c>
      <c r="R634">
        <v>0.1045</v>
      </c>
      <c r="S634">
        <v>0</v>
      </c>
      <c r="T634">
        <v>33</v>
      </c>
      <c r="U634">
        <v>33</v>
      </c>
    </row>
    <row r="635" spans="1:21" x14ac:dyDescent="0.3">
      <c r="A635">
        <v>643</v>
      </c>
      <c r="B635" t="s">
        <v>64</v>
      </c>
      <c r="C635" t="str">
        <f t="shared" si="37"/>
        <v>30-Jan-2011</v>
      </c>
      <c r="D635">
        <v>1</v>
      </c>
      <c r="E635">
        <v>0</v>
      </c>
      <c r="F635">
        <v>1</v>
      </c>
      <c r="G635" t="str">
        <f t="shared" si="36"/>
        <v>Jan</v>
      </c>
      <c r="H635">
        <v>1</v>
      </c>
      <c r="I635">
        <f t="shared" si="38"/>
        <v>0</v>
      </c>
      <c r="J635" t="s">
        <v>125</v>
      </c>
      <c r="K635">
        <v>0</v>
      </c>
      <c r="L635" t="str">
        <f t="shared" si="39"/>
        <v>Weekend</v>
      </c>
      <c r="M635">
        <v>1</v>
      </c>
      <c r="N635" t="str" cm="1">
        <f t="array" ref="N635">_xlfn.IFS(M635=1,"Sunny Day",M635=2,"Cloudy Day",M635=3,"Rainy Day",M635=4,"Heavy Rain")</f>
        <v>Sunny Day</v>
      </c>
      <c r="O635">
        <v>0.14000000000000001</v>
      </c>
      <c r="P635">
        <v>0.21210000000000001</v>
      </c>
      <c r="Q635">
        <v>0.8</v>
      </c>
      <c r="R635">
        <v>0</v>
      </c>
      <c r="S635">
        <v>7</v>
      </c>
      <c r="T635">
        <v>22</v>
      </c>
      <c r="U635">
        <v>29</v>
      </c>
    </row>
    <row r="636" spans="1:21" x14ac:dyDescent="0.3">
      <c r="A636">
        <v>644</v>
      </c>
      <c r="B636" t="s">
        <v>64</v>
      </c>
      <c r="C636" t="str">
        <f t="shared" si="37"/>
        <v>30-Jan-2011</v>
      </c>
      <c r="D636">
        <v>1</v>
      </c>
      <c r="E636">
        <v>0</v>
      </c>
      <c r="F636">
        <v>1</v>
      </c>
      <c r="G636" t="str">
        <f t="shared" si="36"/>
        <v>Jan</v>
      </c>
      <c r="H636">
        <v>2</v>
      </c>
      <c r="I636">
        <f t="shared" si="38"/>
        <v>0</v>
      </c>
      <c r="J636" t="s">
        <v>125</v>
      </c>
      <c r="K636">
        <v>0</v>
      </c>
      <c r="L636" t="str">
        <f t="shared" si="39"/>
        <v>Weekend</v>
      </c>
      <c r="M636">
        <v>1</v>
      </c>
      <c r="N636" t="str" cm="1">
        <f t="array" ref="N636">_xlfn.IFS(M636=1,"Sunny Day",M636=2,"Cloudy Day",M636=3,"Rainy Day",M636=4,"Heavy Rain")</f>
        <v>Sunny Day</v>
      </c>
      <c r="O636">
        <v>0.16</v>
      </c>
      <c r="P636">
        <v>0.2273</v>
      </c>
      <c r="Q636">
        <v>0.8</v>
      </c>
      <c r="R636">
        <v>0</v>
      </c>
      <c r="S636">
        <v>1</v>
      </c>
      <c r="T636">
        <v>10</v>
      </c>
      <c r="U636">
        <v>11</v>
      </c>
    </row>
    <row r="637" spans="1:21" x14ac:dyDescent="0.3">
      <c r="A637">
        <v>645</v>
      </c>
      <c r="B637" t="s">
        <v>64</v>
      </c>
      <c r="C637" t="str">
        <f t="shared" si="37"/>
        <v>30-Jan-2011</v>
      </c>
      <c r="D637">
        <v>1</v>
      </c>
      <c r="E637">
        <v>0</v>
      </c>
      <c r="F637">
        <v>1</v>
      </c>
      <c r="G637" t="str">
        <f t="shared" si="36"/>
        <v>Jan</v>
      </c>
      <c r="H637">
        <v>3</v>
      </c>
      <c r="I637">
        <f t="shared" si="38"/>
        <v>0</v>
      </c>
      <c r="J637" t="s">
        <v>125</v>
      </c>
      <c r="K637">
        <v>0</v>
      </c>
      <c r="L637" t="str">
        <f t="shared" si="39"/>
        <v>Weekend</v>
      </c>
      <c r="M637">
        <v>1</v>
      </c>
      <c r="N637" t="str" cm="1">
        <f t="array" ref="N637">_xlfn.IFS(M637=1,"Sunny Day",M637=2,"Cloudy Day",M637=3,"Rainy Day",M637=4,"Heavy Rain")</f>
        <v>Sunny Day</v>
      </c>
      <c r="O637">
        <v>0.14000000000000001</v>
      </c>
      <c r="P637">
        <v>0.21210000000000001</v>
      </c>
      <c r="Q637">
        <v>0.93</v>
      </c>
      <c r="R637">
        <v>0</v>
      </c>
      <c r="S637">
        <v>1</v>
      </c>
      <c r="T637">
        <v>7</v>
      </c>
      <c r="U637">
        <v>8</v>
      </c>
    </row>
    <row r="638" spans="1:21" x14ac:dyDescent="0.3">
      <c r="A638">
        <v>646</v>
      </c>
      <c r="B638" t="s">
        <v>64</v>
      </c>
      <c r="C638" t="str">
        <f t="shared" si="37"/>
        <v>30-Jan-2011</v>
      </c>
      <c r="D638">
        <v>1</v>
      </c>
      <c r="E638">
        <v>0</v>
      </c>
      <c r="F638">
        <v>1</v>
      </c>
      <c r="G638" t="str">
        <f t="shared" si="36"/>
        <v>Jan</v>
      </c>
      <c r="H638">
        <v>4</v>
      </c>
      <c r="I638">
        <f t="shared" si="38"/>
        <v>0</v>
      </c>
      <c r="J638" t="s">
        <v>125</v>
      </c>
      <c r="K638">
        <v>0</v>
      </c>
      <c r="L638" t="str">
        <f t="shared" si="39"/>
        <v>Weekend</v>
      </c>
      <c r="M638">
        <v>1</v>
      </c>
      <c r="N638" t="str" cm="1">
        <f t="array" ref="N638">_xlfn.IFS(M638=1,"Sunny Day",M638=2,"Cloudy Day",M638=3,"Rainy Day",M638=4,"Heavy Rain")</f>
        <v>Sunny Day</v>
      </c>
      <c r="O638">
        <v>0.14000000000000001</v>
      </c>
      <c r="P638">
        <v>0.21210000000000001</v>
      </c>
      <c r="Q638">
        <v>0.93</v>
      </c>
      <c r="R638">
        <v>0</v>
      </c>
      <c r="S638">
        <v>0</v>
      </c>
      <c r="T638">
        <v>1</v>
      </c>
      <c r="U638">
        <v>1</v>
      </c>
    </row>
    <row r="639" spans="1:21" x14ac:dyDescent="0.3">
      <c r="A639">
        <v>647</v>
      </c>
      <c r="B639" t="s">
        <v>64</v>
      </c>
      <c r="C639" t="str">
        <f t="shared" si="37"/>
        <v>30-Jan-2011</v>
      </c>
      <c r="D639">
        <v>1</v>
      </c>
      <c r="E639">
        <v>0</v>
      </c>
      <c r="F639">
        <v>1</v>
      </c>
      <c r="G639" t="str">
        <f t="shared" si="36"/>
        <v>Jan</v>
      </c>
      <c r="H639">
        <v>5</v>
      </c>
      <c r="I639">
        <f t="shared" si="38"/>
        <v>0</v>
      </c>
      <c r="J639" t="s">
        <v>125</v>
      </c>
      <c r="K639">
        <v>0</v>
      </c>
      <c r="L639" t="str">
        <f t="shared" si="39"/>
        <v>Weekend</v>
      </c>
      <c r="M639">
        <v>1</v>
      </c>
      <c r="N639" t="str" cm="1">
        <f t="array" ref="N639">_xlfn.IFS(M639=1,"Sunny Day",M639=2,"Cloudy Day",M639=3,"Rainy Day",M639=4,"Heavy Rain")</f>
        <v>Sunny Day</v>
      </c>
      <c r="O639">
        <v>0.14000000000000001</v>
      </c>
      <c r="P639">
        <v>0.21210000000000001</v>
      </c>
      <c r="Q639">
        <v>0.86</v>
      </c>
      <c r="R639">
        <v>0</v>
      </c>
      <c r="S639">
        <v>0</v>
      </c>
      <c r="T639">
        <v>3</v>
      </c>
      <c r="U639">
        <v>3</v>
      </c>
    </row>
    <row r="640" spans="1:21" x14ac:dyDescent="0.3">
      <c r="A640">
        <v>648</v>
      </c>
      <c r="B640" t="s">
        <v>64</v>
      </c>
      <c r="C640" t="str">
        <f t="shared" si="37"/>
        <v>30-Jan-2011</v>
      </c>
      <c r="D640">
        <v>1</v>
      </c>
      <c r="E640">
        <v>0</v>
      </c>
      <c r="F640">
        <v>1</v>
      </c>
      <c r="G640" t="str">
        <f t="shared" si="36"/>
        <v>Jan</v>
      </c>
      <c r="H640">
        <v>7</v>
      </c>
      <c r="I640">
        <f t="shared" si="38"/>
        <v>0</v>
      </c>
      <c r="J640" t="s">
        <v>125</v>
      </c>
      <c r="K640">
        <v>0</v>
      </c>
      <c r="L640" t="str">
        <f t="shared" si="39"/>
        <v>Weekend</v>
      </c>
      <c r="M640">
        <v>1</v>
      </c>
      <c r="N640" t="str" cm="1">
        <f t="array" ref="N640">_xlfn.IFS(M640=1,"Sunny Day",M640=2,"Cloudy Day",M640=3,"Rainy Day",M640=4,"Heavy Rain")</f>
        <v>Sunny Day</v>
      </c>
      <c r="O640">
        <v>0.14000000000000001</v>
      </c>
      <c r="P640">
        <v>0.21210000000000001</v>
      </c>
      <c r="Q640">
        <v>0.86</v>
      </c>
      <c r="R640">
        <v>0</v>
      </c>
      <c r="S640">
        <v>0</v>
      </c>
      <c r="T640">
        <v>3</v>
      </c>
      <c r="U640">
        <v>3</v>
      </c>
    </row>
    <row r="641" spans="1:21" x14ac:dyDescent="0.3">
      <c r="A641">
        <v>649</v>
      </c>
      <c r="B641" t="s">
        <v>64</v>
      </c>
      <c r="C641" t="str">
        <f t="shared" si="37"/>
        <v>30-Jan-2011</v>
      </c>
      <c r="D641">
        <v>1</v>
      </c>
      <c r="E641">
        <v>0</v>
      </c>
      <c r="F641">
        <v>1</v>
      </c>
      <c r="G641" t="str">
        <f t="shared" si="36"/>
        <v>Jan</v>
      </c>
      <c r="H641">
        <v>8</v>
      </c>
      <c r="I641">
        <f t="shared" si="38"/>
        <v>0</v>
      </c>
      <c r="J641" t="s">
        <v>125</v>
      </c>
      <c r="K641">
        <v>0</v>
      </c>
      <c r="L641" t="str">
        <f t="shared" si="39"/>
        <v>Weekend</v>
      </c>
      <c r="M641">
        <v>2</v>
      </c>
      <c r="N641" t="str" cm="1">
        <f t="array" ref="N641">_xlfn.IFS(M641=1,"Sunny Day",M641=2,"Cloudy Day",M641=3,"Rainy Day",M641=4,"Heavy Rain")</f>
        <v>Cloudy Day</v>
      </c>
      <c r="O641">
        <v>0.14000000000000001</v>
      </c>
      <c r="P641">
        <v>0.21210000000000001</v>
      </c>
      <c r="Q641">
        <v>0.86</v>
      </c>
      <c r="R641">
        <v>0</v>
      </c>
      <c r="S641">
        <v>1</v>
      </c>
      <c r="T641">
        <v>11</v>
      </c>
      <c r="U641">
        <v>12</v>
      </c>
    </row>
    <row r="642" spans="1:21" x14ac:dyDescent="0.3">
      <c r="A642">
        <v>650</v>
      </c>
      <c r="B642" t="s">
        <v>64</v>
      </c>
      <c r="C642" t="str">
        <f t="shared" si="37"/>
        <v>30-Jan-2011</v>
      </c>
      <c r="D642">
        <v>1</v>
      </c>
      <c r="E642">
        <v>0</v>
      </c>
      <c r="F642">
        <v>1</v>
      </c>
      <c r="G642" t="str">
        <f t="shared" ref="G642:G705" si="40">TEXT(C642,"mmm")</f>
        <v>Jan</v>
      </c>
      <c r="H642">
        <v>9</v>
      </c>
      <c r="I642">
        <f t="shared" si="38"/>
        <v>0</v>
      </c>
      <c r="J642" t="s">
        <v>125</v>
      </c>
      <c r="K642">
        <v>0</v>
      </c>
      <c r="L642" t="str">
        <f t="shared" si="39"/>
        <v>Weekend</v>
      </c>
      <c r="M642">
        <v>2</v>
      </c>
      <c r="N642" t="str" cm="1">
        <f t="array" ref="N642">_xlfn.IFS(M642=1,"Sunny Day",M642=2,"Cloudy Day",M642=3,"Rainy Day",M642=4,"Heavy Rain")</f>
        <v>Cloudy Day</v>
      </c>
      <c r="O642">
        <v>0.16</v>
      </c>
      <c r="P642">
        <v>0.2273</v>
      </c>
      <c r="Q642">
        <v>0.8</v>
      </c>
      <c r="R642">
        <v>0</v>
      </c>
      <c r="S642">
        <v>4</v>
      </c>
      <c r="T642">
        <v>34</v>
      </c>
      <c r="U642">
        <v>38</v>
      </c>
    </row>
    <row r="643" spans="1:21" x14ac:dyDescent="0.3">
      <c r="A643">
        <v>651</v>
      </c>
      <c r="B643" t="s">
        <v>64</v>
      </c>
      <c r="C643" t="str">
        <f t="shared" ref="C643:C706" si="41">TEXT(DATEVALUE(B643),"dd-mmm-yyyy")</f>
        <v>30-Jan-2011</v>
      </c>
      <c r="D643">
        <v>1</v>
      </c>
      <c r="E643">
        <v>0</v>
      </c>
      <c r="F643">
        <v>1</v>
      </c>
      <c r="G643" t="str">
        <f t="shared" si="40"/>
        <v>Jan</v>
      </c>
      <c r="H643">
        <v>10</v>
      </c>
      <c r="I643">
        <f t="shared" ref="I643:I706" si="42">IF(AND(H643&gt;=0,H643&lt;=10),0,1)</f>
        <v>0</v>
      </c>
      <c r="J643" t="s">
        <v>125</v>
      </c>
      <c r="K643">
        <v>0</v>
      </c>
      <c r="L643" t="str">
        <f t="shared" ref="L643:L706" si="43">IF(AND(K643&gt;=1,K643&lt;=5),"Weekday","Weekend")</f>
        <v>Weekend</v>
      </c>
      <c r="M643">
        <v>2</v>
      </c>
      <c r="N643" t="str" cm="1">
        <f t="array" ref="N643">_xlfn.IFS(M643=1,"Sunny Day",M643=2,"Cloudy Day",M643=3,"Rainy Day",M643=4,"Heavy Rain")</f>
        <v>Cloudy Day</v>
      </c>
      <c r="O643">
        <v>0.18</v>
      </c>
      <c r="P643">
        <v>0.2424</v>
      </c>
      <c r="Q643">
        <v>0.8</v>
      </c>
      <c r="R643">
        <v>0</v>
      </c>
      <c r="S643">
        <v>7</v>
      </c>
      <c r="T643">
        <v>57</v>
      </c>
      <c r="U643">
        <v>64</v>
      </c>
    </row>
    <row r="644" spans="1:21" x14ac:dyDescent="0.3">
      <c r="A644">
        <v>652</v>
      </c>
      <c r="B644" t="s">
        <v>64</v>
      </c>
      <c r="C644" t="str">
        <f t="shared" si="41"/>
        <v>30-Jan-2011</v>
      </c>
      <c r="D644">
        <v>1</v>
      </c>
      <c r="E644">
        <v>0</v>
      </c>
      <c r="F644">
        <v>1</v>
      </c>
      <c r="G644" t="str">
        <f t="shared" si="40"/>
        <v>Jan</v>
      </c>
      <c r="H644">
        <v>11</v>
      </c>
      <c r="I644">
        <f t="shared" si="42"/>
        <v>1</v>
      </c>
      <c r="J644" t="s">
        <v>125</v>
      </c>
      <c r="K644">
        <v>0</v>
      </c>
      <c r="L644" t="str">
        <f t="shared" si="43"/>
        <v>Weekend</v>
      </c>
      <c r="M644">
        <v>1</v>
      </c>
      <c r="N644" t="str" cm="1">
        <f t="array" ref="N644">_xlfn.IFS(M644=1,"Sunny Day",M644=2,"Cloudy Day",M644=3,"Rainy Day",M644=4,"Heavy Rain")</f>
        <v>Sunny Day</v>
      </c>
      <c r="O644">
        <v>0.22</v>
      </c>
      <c r="P644">
        <v>0.2727</v>
      </c>
      <c r="Q644">
        <v>0.75</v>
      </c>
      <c r="R644">
        <v>0</v>
      </c>
      <c r="S644">
        <v>9</v>
      </c>
      <c r="T644">
        <v>50</v>
      </c>
      <c r="U644">
        <v>59</v>
      </c>
    </row>
    <row r="645" spans="1:21" x14ac:dyDescent="0.3">
      <c r="A645">
        <v>653</v>
      </c>
      <c r="B645" t="s">
        <v>64</v>
      </c>
      <c r="C645" t="str">
        <f t="shared" si="41"/>
        <v>30-Jan-2011</v>
      </c>
      <c r="D645">
        <v>1</v>
      </c>
      <c r="E645">
        <v>0</v>
      </c>
      <c r="F645">
        <v>1</v>
      </c>
      <c r="G645" t="str">
        <f t="shared" si="40"/>
        <v>Jan</v>
      </c>
      <c r="H645">
        <v>12</v>
      </c>
      <c r="I645">
        <f t="shared" si="42"/>
        <v>1</v>
      </c>
      <c r="J645" t="s">
        <v>125</v>
      </c>
      <c r="K645">
        <v>0</v>
      </c>
      <c r="L645" t="str">
        <f t="shared" si="43"/>
        <v>Weekend</v>
      </c>
      <c r="M645">
        <v>1</v>
      </c>
      <c r="N645" t="str" cm="1">
        <f t="array" ref="N645">_xlfn.IFS(M645=1,"Sunny Day",M645=2,"Cloudy Day",M645=3,"Rainy Day",M645=4,"Heavy Rain")</f>
        <v>Sunny Day</v>
      </c>
      <c r="O645">
        <v>0.3</v>
      </c>
      <c r="P645">
        <v>0.31819999999999998</v>
      </c>
      <c r="Q645">
        <v>0.52</v>
      </c>
      <c r="R645">
        <v>0.1045</v>
      </c>
      <c r="S645">
        <v>10</v>
      </c>
      <c r="T645">
        <v>87</v>
      </c>
      <c r="U645">
        <v>97</v>
      </c>
    </row>
    <row r="646" spans="1:21" x14ac:dyDescent="0.3">
      <c r="A646">
        <v>654</v>
      </c>
      <c r="B646" t="s">
        <v>64</v>
      </c>
      <c r="C646" t="str">
        <f t="shared" si="41"/>
        <v>30-Jan-2011</v>
      </c>
      <c r="D646">
        <v>1</v>
      </c>
      <c r="E646">
        <v>0</v>
      </c>
      <c r="F646">
        <v>1</v>
      </c>
      <c r="G646" t="str">
        <f t="shared" si="40"/>
        <v>Jan</v>
      </c>
      <c r="H646">
        <v>13</v>
      </c>
      <c r="I646">
        <f t="shared" si="42"/>
        <v>1</v>
      </c>
      <c r="J646" t="s">
        <v>125</v>
      </c>
      <c r="K646">
        <v>0</v>
      </c>
      <c r="L646" t="str">
        <f t="shared" si="43"/>
        <v>Weekend</v>
      </c>
      <c r="M646">
        <v>1</v>
      </c>
      <c r="N646" t="str" cm="1">
        <f t="array" ref="N646">_xlfn.IFS(M646=1,"Sunny Day",M646=2,"Cloudy Day",M646=3,"Rainy Day",M646=4,"Heavy Rain")</f>
        <v>Sunny Day</v>
      </c>
      <c r="O646">
        <v>0.28000000000000003</v>
      </c>
      <c r="P646">
        <v>0.28789999999999999</v>
      </c>
      <c r="Q646">
        <v>0.61</v>
      </c>
      <c r="R646">
        <v>0.1045</v>
      </c>
      <c r="S646">
        <v>13</v>
      </c>
      <c r="T646">
        <v>71</v>
      </c>
      <c r="U646">
        <v>84</v>
      </c>
    </row>
    <row r="647" spans="1:21" x14ac:dyDescent="0.3">
      <c r="A647">
        <v>655</v>
      </c>
      <c r="B647" t="s">
        <v>64</v>
      </c>
      <c r="C647" t="str">
        <f t="shared" si="41"/>
        <v>30-Jan-2011</v>
      </c>
      <c r="D647">
        <v>1</v>
      </c>
      <c r="E647">
        <v>0</v>
      </c>
      <c r="F647">
        <v>1</v>
      </c>
      <c r="G647" t="str">
        <f t="shared" si="40"/>
        <v>Jan</v>
      </c>
      <c r="H647">
        <v>14</v>
      </c>
      <c r="I647">
        <f t="shared" si="42"/>
        <v>1</v>
      </c>
      <c r="J647" t="s">
        <v>125</v>
      </c>
      <c r="K647">
        <v>0</v>
      </c>
      <c r="L647" t="str">
        <f t="shared" si="43"/>
        <v>Weekend</v>
      </c>
      <c r="M647">
        <v>1</v>
      </c>
      <c r="N647" t="str" cm="1">
        <f t="array" ref="N647">_xlfn.IFS(M647=1,"Sunny Day",M647=2,"Cloudy Day",M647=3,"Rainy Day",M647=4,"Heavy Rain")</f>
        <v>Sunny Day</v>
      </c>
      <c r="O647">
        <v>0.28000000000000003</v>
      </c>
      <c r="P647">
        <v>0.30299999999999999</v>
      </c>
      <c r="Q647">
        <v>0.61</v>
      </c>
      <c r="R647">
        <v>8.9599999999999999E-2</v>
      </c>
      <c r="S647">
        <v>18</v>
      </c>
      <c r="T647">
        <v>104</v>
      </c>
      <c r="U647">
        <v>122</v>
      </c>
    </row>
    <row r="648" spans="1:21" x14ac:dyDescent="0.3">
      <c r="A648">
        <v>656</v>
      </c>
      <c r="B648" t="s">
        <v>64</v>
      </c>
      <c r="C648" t="str">
        <f t="shared" si="41"/>
        <v>30-Jan-2011</v>
      </c>
      <c r="D648">
        <v>1</v>
      </c>
      <c r="E648">
        <v>0</v>
      </c>
      <c r="F648">
        <v>1</v>
      </c>
      <c r="G648" t="str">
        <f t="shared" si="40"/>
        <v>Jan</v>
      </c>
      <c r="H648">
        <v>15</v>
      </c>
      <c r="I648">
        <f t="shared" si="42"/>
        <v>1</v>
      </c>
      <c r="J648" t="s">
        <v>125</v>
      </c>
      <c r="K648">
        <v>0</v>
      </c>
      <c r="L648" t="str">
        <f t="shared" si="43"/>
        <v>Weekend</v>
      </c>
      <c r="M648">
        <v>1</v>
      </c>
      <c r="N648" t="str" cm="1">
        <f t="array" ref="N648">_xlfn.IFS(M648=1,"Sunny Day",M648=2,"Cloudy Day",M648=3,"Rainy Day",M648=4,"Heavy Rain")</f>
        <v>Sunny Day</v>
      </c>
      <c r="O648">
        <v>0.3</v>
      </c>
      <c r="P648">
        <v>0.33329999999999999</v>
      </c>
      <c r="Q648">
        <v>0.56000000000000005</v>
      </c>
      <c r="R648">
        <v>0</v>
      </c>
      <c r="S648">
        <v>14</v>
      </c>
      <c r="T648">
        <v>95</v>
      </c>
      <c r="U648">
        <v>109</v>
      </c>
    </row>
    <row r="649" spans="1:21" x14ac:dyDescent="0.3">
      <c r="A649">
        <v>657</v>
      </c>
      <c r="B649" t="s">
        <v>64</v>
      </c>
      <c r="C649" t="str">
        <f t="shared" si="41"/>
        <v>30-Jan-2011</v>
      </c>
      <c r="D649">
        <v>1</v>
      </c>
      <c r="E649">
        <v>0</v>
      </c>
      <c r="F649">
        <v>1</v>
      </c>
      <c r="G649" t="str">
        <f t="shared" si="40"/>
        <v>Jan</v>
      </c>
      <c r="H649">
        <v>16</v>
      </c>
      <c r="I649">
        <f t="shared" si="42"/>
        <v>1</v>
      </c>
      <c r="J649" t="s">
        <v>125</v>
      </c>
      <c r="K649">
        <v>0</v>
      </c>
      <c r="L649" t="str">
        <f t="shared" si="43"/>
        <v>Weekend</v>
      </c>
      <c r="M649">
        <v>1</v>
      </c>
      <c r="N649" t="str" cm="1">
        <f t="array" ref="N649">_xlfn.IFS(M649=1,"Sunny Day",M649=2,"Cloudy Day",M649=3,"Rainy Day",M649=4,"Heavy Rain")</f>
        <v>Sunny Day</v>
      </c>
      <c r="O649">
        <v>0.3</v>
      </c>
      <c r="P649">
        <v>0.33329999999999999</v>
      </c>
      <c r="Q649">
        <v>0.56000000000000005</v>
      </c>
      <c r="R649">
        <v>0</v>
      </c>
      <c r="S649">
        <v>19</v>
      </c>
      <c r="T649">
        <v>104</v>
      </c>
      <c r="U649">
        <v>123</v>
      </c>
    </row>
    <row r="650" spans="1:21" x14ac:dyDescent="0.3">
      <c r="A650">
        <v>658</v>
      </c>
      <c r="B650" t="s">
        <v>64</v>
      </c>
      <c r="C650" t="str">
        <f t="shared" si="41"/>
        <v>30-Jan-2011</v>
      </c>
      <c r="D650">
        <v>1</v>
      </c>
      <c r="E650">
        <v>0</v>
      </c>
      <c r="F650">
        <v>1</v>
      </c>
      <c r="G650" t="str">
        <f t="shared" si="40"/>
        <v>Jan</v>
      </c>
      <c r="H650">
        <v>17</v>
      </c>
      <c r="I650">
        <f t="shared" si="42"/>
        <v>1</v>
      </c>
      <c r="J650" t="s">
        <v>125</v>
      </c>
      <c r="K650">
        <v>0</v>
      </c>
      <c r="L650" t="str">
        <f t="shared" si="43"/>
        <v>Weekend</v>
      </c>
      <c r="M650">
        <v>1</v>
      </c>
      <c r="N650" t="str" cm="1">
        <f t="array" ref="N650">_xlfn.IFS(M650=1,"Sunny Day",M650=2,"Cloudy Day",M650=3,"Rainy Day",M650=4,"Heavy Rain")</f>
        <v>Sunny Day</v>
      </c>
      <c r="O650">
        <v>0.3</v>
      </c>
      <c r="P650">
        <v>0.28789999999999999</v>
      </c>
      <c r="Q650">
        <v>0.56000000000000005</v>
      </c>
      <c r="R650">
        <v>0.19400000000000001</v>
      </c>
      <c r="S650">
        <v>6</v>
      </c>
      <c r="T650">
        <v>71</v>
      </c>
      <c r="U650">
        <v>77</v>
      </c>
    </row>
    <row r="651" spans="1:21" x14ac:dyDescent="0.3">
      <c r="A651">
        <v>659</v>
      </c>
      <c r="B651" t="s">
        <v>64</v>
      </c>
      <c r="C651" t="str">
        <f t="shared" si="41"/>
        <v>30-Jan-2011</v>
      </c>
      <c r="D651">
        <v>1</v>
      </c>
      <c r="E651">
        <v>0</v>
      </c>
      <c r="F651">
        <v>1</v>
      </c>
      <c r="G651" t="str">
        <f t="shared" si="40"/>
        <v>Jan</v>
      </c>
      <c r="H651">
        <v>18</v>
      </c>
      <c r="I651">
        <f t="shared" si="42"/>
        <v>1</v>
      </c>
      <c r="J651" t="s">
        <v>125</v>
      </c>
      <c r="K651">
        <v>0</v>
      </c>
      <c r="L651" t="str">
        <f t="shared" si="43"/>
        <v>Weekend</v>
      </c>
      <c r="M651">
        <v>1</v>
      </c>
      <c r="N651" t="str" cm="1">
        <f t="array" ref="N651">_xlfn.IFS(M651=1,"Sunny Day",M651=2,"Cloudy Day",M651=3,"Rainy Day",M651=4,"Heavy Rain")</f>
        <v>Sunny Day</v>
      </c>
      <c r="O651">
        <v>0.26</v>
      </c>
      <c r="P651">
        <v>0.2576</v>
      </c>
      <c r="Q651">
        <v>0.65</v>
      </c>
      <c r="R651">
        <v>0.16420000000000001</v>
      </c>
      <c r="S651">
        <v>8</v>
      </c>
      <c r="T651">
        <v>57</v>
      </c>
      <c r="U651">
        <v>65</v>
      </c>
    </row>
    <row r="652" spans="1:21" x14ac:dyDescent="0.3">
      <c r="A652">
        <v>660</v>
      </c>
      <c r="B652" t="s">
        <v>64</v>
      </c>
      <c r="C652" t="str">
        <f t="shared" si="41"/>
        <v>30-Jan-2011</v>
      </c>
      <c r="D652">
        <v>1</v>
      </c>
      <c r="E652">
        <v>0</v>
      </c>
      <c r="F652">
        <v>1</v>
      </c>
      <c r="G652" t="str">
        <f t="shared" si="40"/>
        <v>Jan</v>
      </c>
      <c r="H652">
        <v>19</v>
      </c>
      <c r="I652">
        <f t="shared" si="42"/>
        <v>1</v>
      </c>
      <c r="J652" t="s">
        <v>125</v>
      </c>
      <c r="K652">
        <v>0</v>
      </c>
      <c r="L652" t="str">
        <f t="shared" si="43"/>
        <v>Weekend</v>
      </c>
      <c r="M652">
        <v>1</v>
      </c>
      <c r="N652" t="str" cm="1">
        <f t="array" ref="N652">_xlfn.IFS(M652=1,"Sunny Day",M652=2,"Cloudy Day",M652=3,"Rainy Day",M652=4,"Heavy Rain")</f>
        <v>Sunny Day</v>
      </c>
      <c r="O652">
        <v>0.26</v>
      </c>
      <c r="P652">
        <v>0.2576</v>
      </c>
      <c r="Q652">
        <v>0.65</v>
      </c>
      <c r="R652">
        <v>0.19400000000000001</v>
      </c>
      <c r="S652">
        <v>9</v>
      </c>
      <c r="T652">
        <v>46</v>
      </c>
      <c r="U652">
        <v>55</v>
      </c>
    </row>
    <row r="653" spans="1:21" x14ac:dyDescent="0.3">
      <c r="A653">
        <v>661</v>
      </c>
      <c r="B653" t="s">
        <v>64</v>
      </c>
      <c r="C653" t="str">
        <f t="shared" si="41"/>
        <v>30-Jan-2011</v>
      </c>
      <c r="D653">
        <v>1</v>
      </c>
      <c r="E653">
        <v>0</v>
      </c>
      <c r="F653">
        <v>1</v>
      </c>
      <c r="G653" t="str">
        <f t="shared" si="40"/>
        <v>Jan</v>
      </c>
      <c r="H653">
        <v>20</v>
      </c>
      <c r="I653">
        <f t="shared" si="42"/>
        <v>1</v>
      </c>
      <c r="J653" t="s">
        <v>125</v>
      </c>
      <c r="K653">
        <v>0</v>
      </c>
      <c r="L653" t="str">
        <f t="shared" si="43"/>
        <v>Weekend</v>
      </c>
      <c r="M653">
        <v>2</v>
      </c>
      <c r="N653" t="str" cm="1">
        <f t="array" ref="N653">_xlfn.IFS(M653=1,"Sunny Day",M653=2,"Cloudy Day",M653=3,"Rainy Day",M653=4,"Heavy Rain")</f>
        <v>Cloudy Day</v>
      </c>
      <c r="O653">
        <v>0.26</v>
      </c>
      <c r="P653">
        <v>0.2727</v>
      </c>
      <c r="Q653">
        <v>0.65</v>
      </c>
      <c r="R653">
        <v>0.1045</v>
      </c>
      <c r="S653">
        <v>3</v>
      </c>
      <c r="T653">
        <v>30</v>
      </c>
      <c r="U653">
        <v>33</v>
      </c>
    </row>
    <row r="654" spans="1:21" x14ac:dyDescent="0.3">
      <c r="A654">
        <v>662</v>
      </c>
      <c r="B654" t="s">
        <v>64</v>
      </c>
      <c r="C654" t="str">
        <f t="shared" si="41"/>
        <v>30-Jan-2011</v>
      </c>
      <c r="D654">
        <v>1</v>
      </c>
      <c r="E654">
        <v>0</v>
      </c>
      <c r="F654">
        <v>1</v>
      </c>
      <c r="G654" t="str">
        <f t="shared" si="40"/>
        <v>Jan</v>
      </c>
      <c r="H654">
        <v>21</v>
      </c>
      <c r="I654">
        <f t="shared" si="42"/>
        <v>1</v>
      </c>
      <c r="J654" t="s">
        <v>125</v>
      </c>
      <c r="K654">
        <v>0</v>
      </c>
      <c r="L654" t="str">
        <f t="shared" si="43"/>
        <v>Weekend</v>
      </c>
      <c r="M654">
        <v>2</v>
      </c>
      <c r="N654" t="str" cm="1">
        <f t="array" ref="N654">_xlfn.IFS(M654=1,"Sunny Day",M654=2,"Cloudy Day",M654=3,"Rainy Day",M654=4,"Heavy Rain")</f>
        <v>Cloudy Day</v>
      </c>
      <c r="O654">
        <v>0.24</v>
      </c>
      <c r="P654">
        <v>0.2424</v>
      </c>
      <c r="Q654">
        <v>0.7</v>
      </c>
      <c r="R654">
        <v>0.16420000000000001</v>
      </c>
      <c r="S654">
        <v>3</v>
      </c>
      <c r="T654">
        <v>25</v>
      </c>
      <c r="U654">
        <v>28</v>
      </c>
    </row>
    <row r="655" spans="1:21" x14ac:dyDescent="0.3">
      <c r="A655">
        <v>663</v>
      </c>
      <c r="B655" t="s">
        <v>64</v>
      </c>
      <c r="C655" t="str">
        <f t="shared" si="41"/>
        <v>30-Jan-2011</v>
      </c>
      <c r="D655">
        <v>1</v>
      </c>
      <c r="E655">
        <v>0</v>
      </c>
      <c r="F655">
        <v>1</v>
      </c>
      <c r="G655" t="str">
        <f t="shared" si="40"/>
        <v>Jan</v>
      </c>
      <c r="H655">
        <v>22</v>
      </c>
      <c r="I655">
        <f t="shared" si="42"/>
        <v>1</v>
      </c>
      <c r="J655" t="s">
        <v>125</v>
      </c>
      <c r="K655">
        <v>0</v>
      </c>
      <c r="L655" t="str">
        <f t="shared" si="43"/>
        <v>Weekend</v>
      </c>
      <c r="M655">
        <v>2</v>
      </c>
      <c r="N655" t="str" cm="1">
        <f t="array" ref="N655">_xlfn.IFS(M655=1,"Sunny Day",M655=2,"Cloudy Day",M655=3,"Rainy Day",M655=4,"Heavy Rain")</f>
        <v>Cloudy Day</v>
      </c>
      <c r="O655">
        <v>0.24</v>
      </c>
      <c r="P655">
        <v>0.2273</v>
      </c>
      <c r="Q655">
        <v>0.7</v>
      </c>
      <c r="R655">
        <v>0.19400000000000001</v>
      </c>
      <c r="S655">
        <v>2</v>
      </c>
      <c r="T655">
        <v>19</v>
      </c>
      <c r="U655">
        <v>21</v>
      </c>
    </row>
    <row r="656" spans="1:21" x14ac:dyDescent="0.3">
      <c r="A656">
        <v>664</v>
      </c>
      <c r="B656" t="s">
        <v>64</v>
      </c>
      <c r="C656" t="str">
        <f t="shared" si="41"/>
        <v>30-Jan-2011</v>
      </c>
      <c r="D656">
        <v>1</v>
      </c>
      <c r="E656">
        <v>0</v>
      </c>
      <c r="F656">
        <v>1</v>
      </c>
      <c r="G656" t="str">
        <f t="shared" si="40"/>
        <v>Jan</v>
      </c>
      <c r="H656">
        <v>23</v>
      </c>
      <c r="I656">
        <f t="shared" si="42"/>
        <v>1</v>
      </c>
      <c r="J656" t="s">
        <v>125</v>
      </c>
      <c r="K656">
        <v>0</v>
      </c>
      <c r="L656" t="str">
        <f t="shared" si="43"/>
        <v>Weekend</v>
      </c>
      <c r="M656">
        <v>2</v>
      </c>
      <c r="N656" t="str" cm="1">
        <f t="array" ref="N656">_xlfn.IFS(M656=1,"Sunny Day",M656=2,"Cloudy Day",M656=3,"Rainy Day",M656=4,"Heavy Rain")</f>
        <v>Cloudy Day</v>
      </c>
      <c r="O656">
        <v>0.24</v>
      </c>
      <c r="P656">
        <v>0.21210000000000001</v>
      </c>
      <c r="Q656">
        <v>0.65</v>
      </c>
      <c r="R656">
        <v>0.28360000000000002</v>
      </c>
      <c r="S656">
        <v>5</v>
      </c>
      <c r="T656">
        <v>16</v>
      </c>
      <c r="U656">
        <v>21</v>
      </c>
    </row>
    <row r="657" spans="1:21" x14ac:dyDescent="0.3">
      <c r="A657">
        <v>665</v>
      </c>
      <c r="B657" t="s">
        <v>66</v>
      </c>
      <c r="C657" t="str">
        <f t="shared" si="41"/>
        <v>31-Jan-2011</v>
      </c>
      <c r="D657">
        <v>1</v>
      </c>
      <c r="E657">
        <v>0</v>
      </c>
      <c r="F657">
        <v>1</v>
      </c>
      <c r="G657" t="str">
        <f t="shared" si="40"/>
        <v>Jan</v>
      </c>
      <c r="H657">
        <v>0</v>
      </c>
      <c r="I657">
        <f t="shared" si="42"/>
        <v>0</v>
      </c>
      <c r="J657" t="s">
        <v>126</v>
      </c>
      <c r="K657">
        <v>1</v>
      </c>
      <c r="L657" t="str">
        <f t="shared" si="43"/>
        <v>Weekday</v>
      </c>
      <c r="M657">
        <v>2</v>
      </c>
      <c r="N657" t="str" cm="1">
        <f t="array" ref="N657">_xlfn.IFS(M657=1,"Sunny Day",M657=2,"Cloudy Day",M657=3,"Rainy Day",M657=4,"Heavy Rain")</f>
        <v>Cloudy Day</v>
      </c>
      <c r="O657">
        <v>0.24</v>
      </c>
      <c r="P657">
        <v>0.2273</v>
      </c>
      <c r="Q657">
        <v>0.65</v>
      </c>
      <c r="R657">
        <v>0.22389999999999999</v>
      </c>
      <c r="S657">
        <v>1</v>
      </c>
      <c r="T657">
        <v>6</v>
      </c>
      <c r="U657">
        <v>7</v>
      </c>
    </row>
    <row r="658" spans="1:21" x14ac:dyDescent="0.3">
      <c r="A658">
        <v>666</v>
      </c>
      <c r="B658" t="s">
        <v>66</v>
      </c>
      <c r="C658" t="str">
        <f t="shared" si="41"/>
        <v>31-Jan-2011</v>
      </c>
      <c r="D658">
        <v>1</v>
      </c>
      <c r="E658">
        <v>0</v>
      </c>
      <c r="F658">
        <v>1</v>
      </c>
      <c r="G658" t="str">
        <f t="shared" si="40"/>
        <v>Jan</v>
      </c>
      <c r="H658">
        <v>1</v>
      </c>
      <c r="I658">
        <f t="shared" si="42"/>
        <v>0</v>
      </c>
      <c r="J658" t="s">
        <v>126</v>
      </c>
      <c r="K658">
        <v>1</v>
      </c>
      <c r="L658" t="str">
        <f t="shared" si="43"/>
        <v>Weekday</v>
      </c>
      <c r="M658">
        <v>1</v>
      </c>
      <c r="N658" t="str" cm="1">
        <f t="array" ref="N658">_xlfn.IFS(M658=1,"Sunny Day",M658=2,"Cloudy Day",M658=3,"Rainy Day",M658=4,"Heavy Rain")</f>
        <v>Sunny Day</v>
      </c>
      <c r="O658">
        <v>0.22</v>
      </c>
      <c r="P658">
        <v>0.21210000000000001</v>
      </c>
      <c r="Q658">
        <v>0.64</v>
      </c>
      <c r="R658">
        <v>0.25369999999999998</v>
      </c>
      <c r="S658">
        <v>2</v>
      </c>
      <c r="T658">
        <v>5</v>
      </c>
      <c r="U658">
        <v>7</v>
      </c>
    </row>
    <row r="659" spans="1:21" x14ac:dyDescent="0.3">
      <c r="A659">
        <v>667</v>
      </c>
      <c r="B659" t="s">
        <v>66</v>
      </c>
      <c r="C659" t="str">
        <f t="shared" si="41"/>
        <v>31-Jan-2011</v>
      </c>
      <c r="D659">
        <v>1</v>
      </c>
      <c r="E659">
        <v>0</v>
      </c>
      <c r="F659">
        <v>1</v>
      </c>
      <c r="G659" t="str">
        <f t="shared" si="40"/>
        <v>Jan</v>
      </c>
      <c r="H659">
        <v>2</v>
      </c>
      <c r="I659">
        <f t="shared" si="42"/>
        <v>0</v>
      </c>
      <c r="J659" t="s">
        <v>126</v>
      </c>
      <c r="K659">
        <v>1</v>
      </c>
      <c r="L659" t="str">
        <f t="shared" si="43"/>
        <v>Weekday</v>
      </c>
      <c r="M659">
        <v>1</v>
      </c>
      <c r="N659" t="str" cm="1">
        <f t="array" ref="N659">_xlfn.IFS(M659=1,"Sunny Day",M659=2,"Cloudy Day",M659=3,"Rainy Day",M659=4,"Heavy Rain")</f>
        <v>Sunny Day</v>
      </c>
      <c r="O659">
        <v>0.22</v>
      </c>
      <c r="P659">
        <v>0.2273</v>
      </c>
      <c r="Q659">
        <v>0.64</v>
      </c>
      <c r="R659">
        <v>0.19400000000000001</v>
      </c>
      <c r="S659">
        <v>0</v>
      </c>
      <c r="T659">
        <v>1</v>
      </c>
      <c r="U659">
        <v>1</v>
      </c>
    </row>
    <row r="660" spans="1:21" x14ac:dyDescent="0.3">
      <c r="A660">
        <v>668</v>
      </c>
      <c r="B660" t="s">
        <v>66</v>
      </c>
      <c r="C660" t="str">
        <f t="shared" si="41"/>
        <v>31-Jan-2011</v>
      </c>
      <c r="D660">
        <v>1</v>
      </c>
      <c r="E660">
        <v>0</v>
      </c>
      <c r="F660">
        <v>1</v>
      </c>
      <c r="G660" t="str">
        <f t="shared" si="40"/>
        <v>Jan</v>
      </c>
      <c r="H660">
        <v>3</v>
      </c>
      <c r="I660">
        <f t="shared" si="42"/>
        <v>0</v>
      </c>
      <c r="J660" t="s">
        <v>126</v>
      </c>
      <c r="K660">
        <v>1</v>
      </c>
      <c r="L660" t="str">
        <f t="shared" si="43"/>
        <v>Weekday</v>
      </c>
      <c r="M660">
        <v>1</v>
      </c>
      <c r="N660" t="str" cm="1">
        <f t="array" ref="N660">_xlfn.IFS(M660=1,"Sunny Day",M660=2,"Cloudy Day",M660=3,"Rainy Day",M660=4,"Heavy Rain")</f>
        <v>Sunny Day</v>
      </c>
      <c r="O660">
        <v>0.22</v>
      </c>
      <c r="P660">
        <v>0.2273</v>
      </c>
      <c r="Q660">
        <v>0.64</v>
      </c>
      <c r="R660">
        <v>0.19400000000000001</v>
      </c>
      <c r="S660">
        <v>0</v>
      </c>
      <c r="T660">
        <v>2</v>
      </c>
      <c r="U660">
        <v>2</v>
      </c>
    </row>
    <row r="661" spans="1:21" x14ac:dyDescent="0.3">
      <c r="A661">
        <v>669</v>
      </c>
      <c r="B661" t="s">
        <v>66</v>
      </c>
      <c r="C661" t="str">
        <f t="shared" si="41"/>
        <v>31-Jan-2011</v>
      </c>
      <c r="D661">
        <v>1</v>
      </c>
      <c r="E661">
        <v>0</v>
      </c>
      <c r="F661">
        <v>1</v>
      </c>
      <c r="G661" t="str">
        <f t="shared" si="40"/>
        <v>Jan</v>
      </c>
      <c r="H661">
        <v>4</v>
      </c>
      <c r="I661">
        <f t="shared" si="42"/>
        <v>0</v>
      </c>
      <c r="J661" t="s">
        <v>126</v>
      </c>
      <c r="K661">
        <v>1</v>
      </c>
      <c r="L661" t="str">
        <f t="shared" si="43"/>
        <v>Weekday</v>
      </c>
      <c r="M661">
        <v>1</v>
      </c>
      <c r="N661" t="str" cm="1">
        <f t="array" ref="N661">_xlfn.IFS(M661=1,"Sunny Day",M661=2,"Cloudy Day",M661=3,"Rainy Day",M661=4,"Heavy Rain")</f>
        <v>Sunny Day</v>
      </c>
      <c r="O661">
        <v>0.2</v>
      </c>
      <c r="P661">
        <v>0.19700000000000001</v>
      </c>
      <c r="Q661">
        <v>0.59</v>
      </c>
      <c r="R661">
        <v>0.22389999999999999</v>
      </c>
      <c r="S661">
        <v>0</v>
      </c>
      <c r="T661">
        <v>2</v>
      </c>
      <c r="U661">
        <v>2</v>
      </c>
    </row>
    <row r="662" spans="1:21" x14ac:dyDescent="0.3">
      <c r="A662">
        <v>670</v>
      </c>
      <c r="B662" t="s">
        <v>66</v>
      </c>
      <c r="C662" t="str">
        <f t="shared" si="41"/>
        <v>31-Jan-2011</v>
      </c>
      <c r="D662">
        <v>1</v>
      </c>
      <c r="E662">
        <v>0</v>
      </c>
      <c r="F662">
        <v>1</v>
      </c>
      <c r="G662" t="str">
        <f t="shared" si="40"/>
        <v>Jan</v>
      </c>
      <c r="H662">
        <v>5</v>
      </c>
      <c r="I662">
        <f t="shared" si="42"/>
        <v>0</v>
      </c>
      <c r="J662" t="s">
        <v>126</v>
      </c>
      <c r="K662">
        <v>1</v>
      </c>
      <c r="L662" t="str">
        <f t="shared" si="43"/>
        <v>Weekday</v>
      </c>
      <c r="M662">
        <v>1</v>
      </c>
      <c r="N662" t="str" cm="1">
        <f t="array" ref="N662">_xlfn.IFS(M662=1,"Sunny Day",M662=2,"Cloudy Day",M662=3,"Rainy Day",M662=4,"Heavy Rain")</f>
        <v>Sunny Day</v>
      </c>
      <c r="O662">
        <v>0.18</v>
      </c>
      <c r="P662">
        <v>0.16669999999999999</v>
      </c>
      <c r="Q662">
        <v>0.64</v>
      </c>
      <c r="R662">
        <v>0.28360000000000002</v>
      </c>
      <c r="S662">
        <v>0</v>
      </c>
      <c r="T662">
        <v>8</v>
      </c>
      <c r="U662">
        <v>8</v>
      </c>
    </row>
    <row r="663" spans="1:21" x14ac:dyDescent="0.3">
      <c r="A663">
        <v>671</v>
      </c>
      <c r="B663" t="s">
        <v>66</v>
      </c>
      <c r="C663" t="str">
        <f t="shared" si="41"/>
        <v>31-Jan-2011</v>
      </c>
      <c r="D663">
        <v>1</v>
      </c>
      <c r="E663">
        <v>0</v>
      </c>
      <c r="F663">
        <v>1</v>
      </c>
      <c r="G663" t="str">
        <f t="shared" si="40"/>
        <v>Jan</v>
      </c>
      <c r="H663">
        <v>6</v>
      </c>
      <c r="I663">
        <f t="shared" si="42"/>
        <v>0</v>
      </c>
      <c r="J663" t="s">
        <v>126</v>
      </c>
      <c r="K663">
        <v>1</v>
      </c>
      <c r="L663" t="str">
        <f t="shared" si="43"/>
        <v>Weekday</v>
      </c>
      <c r="M663">
        <v>1</v>
      </c>
      <c r="N663" t="str" cm="1">
        <f t="array" ref="N663">_xlfn.IFS(M663=1,"Sunny Day",M663=2,"Cloudy Day",M663=3,"Rainy Day",M663=4,"Heavy Rain")</f>
        <v>Sunny Day</v>
      </c>
      <c r="O663">
        <v>0.16</v>
      </c>
      <c r="P663">
        <v>0.13639999999999999</v>
      </c>
      <c r="Q663">
        <v>0.69</v>
      </c>
      <c r="R663">
        <v>0.32840000000000003</v>
      </c>
      <c r="S663">
        <v>0</v>
      </c>
      <c r="T663">
        <v>37</v>
      </c>
      <c r="U663">
        <v>37</v>
      </c>
    </row>
    <row r="664" spans="1:21" x14ac:dyDescent="0.3">
      <c r="A664">
        <v>672</v>
      </c>
      <c r="B664" t="s">
        <v>66</v>
      </c>
      <c r="C664" t="str">
        <f t="shared" si="41"/>
        <v>31-Jan-2011</v>
      </c>
      <c r="D664">
        <v>1</v>
      </c>
      <c r="E664">
        <v>0</v>
      </c>
      <c r="F664">
        <v>1</v>
      </c>
      <c r="G664" t="str">
        <f t="shared" si="40"/>
        <v>Jan</v>
      </c>
      <c r="H664">
        <v>7</v>
      </c>
      <c r="I664">
        <f t="shared" si="42"/>
        <v>0</v>
      </c>
      <c r="J664" t="s">
        <v>126</v>
      </c>
      <c r="K664">
        <v>1</v>
      </c>
      <c r="L664" t="str">
        <f t="shared" si="43"/>
        <v>Weekday</v>
      </c>
      <c r="M664">
        <v>2</v>
      </c>
      <c r="N664" t="str" cm="1">
        <f t="array" ref="N664">_xlfn.IFS(M664=1,"Sunny Day",M664=2,"Cloudy Day",M664=3,"Rainy Day",M664=4,"Heavy Rain")</f>
        <v>Cloudy Day</v>
      </c>
      <c r="O664">
        <v>0.16</v>
      </c>
      <c r="P664">
        <v>0.13639999999999999</v>
      </c>
      <c r="Q664">
        <v>0.64</v>
      </c>
      <c r="R664">
        <v>0.28360000000000002</v>
      </c>
      <c r="S664">
        <v>1</v>
      </c>
      <c r="T664">
        <v>71</v>
      </c>
      <c r="U664">
        <v>72</v>
      </c>
    </row>
    <row r="665" spans="1:21" x14ac:dyDescent="0.3">
      <c r="A665">
        <v>673</v>
      </c>
      <c r="B665" t="s">
        <v>66</v>
      </c>
      <c r="C665" t="str">
        <f t="shared" si="41"/>
        <v>31-Jan-2011</v>
      </c>
      <c r="D665">
        <v>1</v>
      </c>
      <c r="E665">
        <v>0</v>
      </c>
      <c r="F665">
        <v>1</v>
      </c>
      <c r="G665" t="str">
        <f t="shared" si="40"/>
        <v>Jan</v>
      </c>
      <c r="H665">
        <v>8</v>
      </c>
      <c r="I665">
        <f t="shared" si="42"/>
        <v>0</v>
      </c>
      <c r="J665" t="s">
        <v>126</v>
      </c>
      <c r="K665">
        <v>1</v>
      </c>
      <c r="L665" t="str">
        <f t="shared" si="43"/>
        <v>Weekday</v>
      </c>
      <c r="M665">
        <v>2</v>
      </c>
      <c r="N665" t="str" cm="1">
        <f t="array" ref="N665">_xlfn.IFS(M665=1,"Sunny Day",M665=2,"Cloudy Day",M665=3,"Rainy Day",M665=4,"Heavy Rain")</f>
        <v>Cloudy Day</v>
      </c>
      <c r="O665">
        <v>0.16</v>
      </c>
      <c r="P665">
        <v>0.13639999999999999</v>
      </c>
      <c r="Q665">
        <v>0.59</v>
      </c>
      <c r="R665">
        <v>0.28360000000000002</v>
      </c>
      <c r="S665">
        <v>3</v>
      </c>
      <c r="T665">
        <v>182</v>
      </c>
      <c r="U665">
        <v>185</v>
      </c>
    </row>
    <row r="666" spans="1:21" x14ac:dyDescent="0.3">
      <c r="A666">
        <v>674</v>
      </c>
      <c r="B666" t="s">
        <v>66</v>
      </c>
      <c r="C666" t="str">
        <f t="shared" si="41"/>
        <v>31-Jan-2011</v>
      </c>
      <c r="D666">
        <v>1</v>
      </c>
      <c r="E666">
        <v>0</v>
      </c>
      <c r="F666">
        <v>1</v>
      </c>
      <c r="G666" t="str">
        <f t="shared" si="40"/>
        <v>Jan</v>
      </c>
      <c r="H666">
        <v>9</v>
      </c>
      <c r="I666">
        <f t="shared" si="42"/>
        <v>0</v>
      </c>
      <c r="J666" t="s">
        <v>126</v>
      </c>
      <c r="K666">
        <v>1</v>
      </c>
      <c r="L666" t="str">
        <f t="shared" si="43"/>
        <v>Weekday</v>
      </c>
      <c r="M666">
        <v>2</v>
      </c>
      <c r="N666" t="str" cm="1">
        <f t="array" ref="N666">_xlfn.IFS(M666=1,"Sunny Day",M666=2,"Cloudy Day",M666=3,"Rainy Day",M666=4,"Heavy Rain")</f>
        <v>Cloudy Day</v>
      </c>
      <c r="O666">
        <v>0.16</v>
      </c>
      <c r="P666">
        <v>0.13639999999999999</v>
      </c>
      <c r="Q666">
        <v>0.59</v>
      </c>
      <c r="R666">
        <v>0.29849999999999999</v>
      </c>
      <c r="S666">
        <v>0</v>
      </c>
      <c r="T666">
        <v>112</v>
      </c>
      <c r="U666">
        <v>112</v>
      </c>
    </row>
    <row r="667" spans="1:21" x14ac:dyDescent="0.3">
      <c r="A667">
        <v>675</v>
      </c>
      <c r="B667" t="s">
        <v>66</v>
      </c>
      <c r="C667" t="str">
        <f t="shared" si="41"/>
        <v>31-Jan-2011</v>
      </c>
      <c r="D667">
        <v>1</v>
      </c>
      <c r="E667">
        <v>0</v>
      </c>
      <c r="F667">
        <v>1</v>
      </c>
      <c r="G667" t="str">
        <f t="shared" si="40"/>
        <v>Jan</v>
      </c>
      <c r="H667">
        <v>10</v>
      </c>
      <c r="I667">
        <f t="shared" si="42"/>
        <v>0</v>
      </c>
      <c r="J667" t="s">
        <v>126</v>
      </c>
      <c r="K667">
        <v>1</v>
      </c>
      <c r="L667" t="str">
        <f t="shared" si="43"/>
        <v>Weekday</v>
      </c>
      <c r="M667">
        <v>2</v>
      </c>
      <c r="N667" t="str" cm="1">
        <f t="array" ref="N667">_xlfn.IFS(M667=1,"Sunny Day",M667=2,"Cloudy Day",M667=3,"Rainy Day",M667=4,"Heavy Rain")</f>
        <v>Cloudy Day</v>
      </c>
      <c r="O667">
        <v>0.16</v>
      </c>
      <c r="P667">
        <v>0.1515</v>
      </c>
      <c r="Q667">
        <v>0.59</v>
      </c>
      <c r="R667">
        <v>0.19400000000000001</v>
      </c>
      <c r="S667">
        <v>1</v>
      </c>
      <c r="T667">
        <v>68</v>
      </c>
      <c r="U667">
        <v>69</v>
      </c>
    </row>
    <row r="668" spans="1:21" x14ac:dyDescent="0.3">
      <c r="A668">
        <v>676</v>
      </c>
      <c r="B668" t="s">
        <v>66</v>
      </c>
      <c r="C668" t="str">
        <f t="shared" si="41"/>
        <v>31-Jan-2011</v>
      </c>
      <c r="D668">
        <v>1</v>
      </c>
      <c r="E668">
        <v>0</v>
      </c>
      <c r="F668">
        <v>1</v>
      </c>
      <c r="G668" t="str">
        <f t="shared" si="40"/>
        <v>Jan</v>
      </c>
      <c r="H668">
        <v>11</v>
      </c>
      <c r="I668">
        <f t="shared" si="42"/>
        <v>1</v>
      </c>
      <c r="J668" t="s">
        <v>126</v>
      </c>
      <c r="K668">
        <v>1</v>
      </c>
      <c r="L668" t="str">
        <f t="shared" si="43"/>
        <v>Weekday</v>
      </c>
      <c r="M668">
        <v>2</v>
      </c>
      <c r="N668" t="str" cm="1">
        <f t="array" ref="N668">_xlfn.IFS(M668=1,"Sunny Day",M668=2,"Cloudy Day",M668=3,"Rainy Day",M668=4,"Heavy Rain")</f>
        <v>Cloudy Day</v>
      </c>
      <c r="O668">
        <v>0.16</v>
      </c>
      <c r="P668">
        <v>0.1515</v>
      </c>
      <c r="Q668">
        <v>0.59</v>
      </c>
      <c r="R668">
        <v>0.19400000000000001</v>
      </c>
      <c r="S668">
        <v>2</v>
      </c>
      <c r="T668">
        <v>46</v>
      </c>
      <c r="U668">
        <v>48</v>
      </c>
    </row>
    <row r="669" spans="1:21" x14ac:dyDescent="0.3">
      <c r="A669">
        <v>677</v>
      </c>
      <c r="B669" t="s">
        <v>66</v>
      </c>
      <c r="C669" t="str">
        <f t="shared" si="41"/>
        <v>31-Jan-2011</v>
      </c>
      <c r="D669">
        <v>1</v>
      </c>
      <c r="E669">
        <v>0</v>
      </c>
      <c r="F669">
        <v>1</v>
      </c>
      <c r="G669" t="str">
        <f t="shared" si="40"/>
        <v>Jan</v>
      </c>
      <c r="H669">
        <v>12</v>
      </c>
      <c r="I669">
        <f t="shared" si="42"/>
        <v>1</v>
      </c>
      <c r="J669" t="s">
        <v>126</v>
      </c>
      <c r="K669">
        <v>1</v>
      </c>
      <c r="L669" t="str">
        <f t="shared" si="43"/>
        <v>Weekday</v>
      </c>
      <c r="M669">
        <v>2</v>
      </c>
      <c r="N669" t="str" cm="1">
        <f t="array" ref="N669">_xlfn.IFS(M669=1,"Sunny Day",M669=2,"Cloudy Day",M669=3,"Rainy Day",M669=4,"Heavy Rain")</f>
        <v>Cloudy Day</v>
      </c>
      <c r="O669">
        <v>0.18</v>
      </c>
      <c r="P669">
        <v>0.21210000000000001</v>
      </c>
      <c r="Q669">
        <v>0.55000000000000004</v>
      </c>
      <c r="R669">
        <v>0.1045</v>
      </c>
      <c r="S669">
        <v>6</v>
      </c>
      <c r="T669">
        <v>62</v>
      </c>
      <c r="U669">
        <v>68</v>
      </c>
    </row>
    <row r="670" spans="1:21" x14ac:dyDescent="0.3">
      <c r="A670">
        <v>678</v>
      </c>
      <c r="B670" t="s">
        <v>66</v>
      </c>
      <c r="C670" t="str">
        <f t="shared" si="41"/>
        <v>31-Jan-2011</v>
      </c>
      <c r="D670">
        <v>1</v>
      </c>
      <c r="E670">
        <v>0</v>
      </c>
      <c r="F670">
        <v>1</v>
      </c>
      <c r="G670" t="str">
        <f t="shared" si="40"/>
        <v>Jan</v>
      </c>
      <c r="H670">
        <v>13</v>
      </c>
      <c r="I670">
        <f t="shared" si="42"/>
        <v>1</v>
      </c>
      <c r="J670" t="s">
        <v>126</v>
      </c>
      <c r="K670">
        <v>1</v>
      </c>
      <c r="L670" t="str">
        <f t="shared" si="43"/>
        <v>Weekday</v>
      </c>
      <c r="M670">
        <v>2</v>
      </c>
      <c r="N670" t="str" cm="1">
        <f t="array" ref="N670">_xlfn.IFS(M670=1,"Sunny Day",M670=2,"Cloudy Day",M670=3,"Rainy Day",M670=4,"Heavy Rain")</f>
        <v>Cloudy Day</v>
      </c>
      <c r="O670">
        <v>0.16</v>
      </c>
      <c r="P670">
        <v>0.2273</v>
      </c>
      <c r="Q670">
        <v>0.59</v>
      </c>
      <c r="R670">
        <v>0</v>
      </c>
      <c r="S670">
        <v>2</v>
      </c>
      <c r="T670">
        <v>52</v>
      </c>
      <c r="U670">
        <v>54</v>
      </c>
    </row>
    <row r="671" spans="1:21" x14ac:dyDescent="0.3">
      <c r="A671">
        <v>679</v>
      </c>
      <c r="B671" t="s">
        <v>66</v>
      </c>
      <c r="C671" t="str">
        <f t="shared" si="41"/>
        <v>31-Jan-2011</v>
      </c>
      <c r="D671">
        <v>1</v>
      </c>
      <c r="E671">
        <v>0</v>
      </c>
      <c r="F671">
        <v>1</v>
      </c>
      <c r="G671" t="str">
        <f t="shared" si="40"/>
        <v>Jan</v>
      </c>
      <c r="H671">
        <v>14</v>
      </c>
      <c r="I671">
        <f t="shared" si="42"/>
        <v>1</v>
      </c>
      <c r="J671" t="s">
        <v>126</v>
      </c>
      <c r="K671">
        <v>1</v>
      </c>
      <c r="L671" t="str">
        <f t="shared" si="43"/>
        <v>Weekday</v>
      </c>
      <c r="M671">
        <v>2</v>
      </c>
      <c r="N671" t="str" cm="1">
        <f t="array" ref="N671">_xlfn.IFS(M671=1,"Sunny Day",M671=2,"Cloudy Day",M671=3,"Rainy Day",M671=4,"Heavy Rain")</f>
        <v>Cloudy Day</v>
      </c>
      <c r="O671">
        <v>0.18</v>
      </c>
      <c r="P671">
        <v>0.19700000000000001</v>
      </c>
      <c r="Q671">
        <v>0.55000000000000004</v>
      </c>
      <c r="R671">
        <v>0.1343</v>
      </c>
      <c r="S671">
        <v>1</v>
      </c>
      <c r="T671">
        <v>85</v>
      </c>
      <c r="U671">
        <v>86</v>
      </c>
    </row>
    <row r="672" spans="1:21" x14ac:dyDescent="0.3">
      <c r="A672">
        <v>680</v>
      </c>
      <c r="B672" t="s">
        <v>66</v>
      </c>
      <c r="C672" t="str">
        <f t="shared" si="41"/>
        <v>31-Jan-2011</v>
      </c>
      <c r="D672">
        <v>1</v>
      </c>
      <c r="E672">
        <v>0</v>
      </c>
      <c r="F672">
        <v>1</v>
      </c>
      <c r="G672" t="str">
        <f t="shared" si="40"/>
        <v>Jan</v>
      </c>
      <c r="H672">
        <v>15</v>
      </c>
      <c r="I672">
        <f t="shared" si="42"/>
        <v>1</v>
      </c>
      <c r="J672" t="s">
        <v>126</v>
      </c>
      <c r="K672">
        <v>1</v>
      </c>
      <c r="L672" t="str">
        <f t="shared" si="43"/>
        <v>Weekday</v>
      </c>
      <c r="M672">
        <v>2</v>
      </c>
      <c r="N672" t="str" cm="1">
        <f t="array" ref="N672">_xlfn.IFS(M672=1,"Sunny Day",M672=2,"Cloudy Day",M672=3,"Rainy Day",M672=4,"Heavy Rain")</f>
        <v>Cloudy Day</v>
      </c>
      <c r="O672">
        <v>0.16</v>
      </c>
      <c r="P672">
        <v>0.18179999999999999</v>
      </c>
      <c r="Q672">
        <v>0.59</v>
      </c>
      <c r="R672">
        <v>0.1343</v>
      </c>
      <c r="S672">
        <v>3</v>
      </c>
      <c r="T672">
        <v>41</v>
      </c>
      <c r="U672">
        <v>44</v>
      </c>
    </row>
    <row r="673" spans="1:21" x14ac:dyDescent="0.3">
      <c r="A673">
        <v>681</v>
      </c>
      <c r="B673" t="s">
        <v>66</v>
      </c>
      <c r="C673" t="str">
        <f t="shared" si="41"/>
        <v>31-Jan-2011</v>
      </c>
      <c r="D673">
        <v>1</v>
      </c>
      <c r="E673">
        <v>0</v>
      </c>
      <c r="F673">
        <v>1</v>
      </c>
      <c r="G673" t="str">
        <f t="shared" si="40"/>
        <v>Jan</v>
      </c>
      <c r="H673">
        <v>16</v>
      </c>
      <c r="I673">
        <f t="shared" si="42"/>
        <v>1</v>
      </c>
      <c r="J673" t="s">
        <v>126</v>
      </c>
      <c r="K673">
        <v>1</v>
      </c>
      <c r="L673" t="str">
        <f t="shared" si="43"/>
        <v>Weekday</v>
      </c>
      <c r="M673">
        <v>2</v>
      </c>
      <c r="N673" t="str" cm="1">
        <f t="array" ref="N673">_xlfn.IFS(M673=1,"Sunny Day",M673=2,"Cloudy Day",M673=3,"Rainy Day",M673=4,"Heavy Rain")</f>
        <v>Cloudy Day</v>
      </c>
      <c r="O673">
        <v>0.16</v>
      </c>
      <c r="P673">
        <v>0.18179999999999999</v>
      </c>
      <c r="Q673">
        <v>0.56000000000000005</v>
      </c>
      <c r="R673">
        <v>0.19400000000000001</v>
      </c>
      <c r="S673">
        <v>3</v>
      </c>
      <c r="T673">
        <v>83</v>
      </c>
      <c r="U673">
        <v>86</v>
      </c>
    </row>
    <row r="674" spans="1:21" x14ac:dyDescent="0.3">
      <c r="A674">
        <v>682</v>
      </c>
      <c r="B674" t="s">
        <v>66</v>
      </c>
      <c r="C674" t="str">
        <f t="shared" si="41"/>
        <v>31-Jan-2011</v>
      </c>
      <c r="D674">
        <v>1</v>
      </c>
      <c r="E674">
        <v>0</v>
      </c>
      <c r="F674">
        <v>1</v>
      </c>
      <c r="G674" t="str">
        <f t="shared" si="40"/>
        <v>Jan</v>
      </c>
      <c r="H674">
        <v>17</v>
      </c>
      <c r="I674">
        <f t="shared" si="42"/>
        <v>1</v>
      </c>
      <c r="J674" t="s">
        <v>126</v>
      </c>
      <c r="K674">
        <v>1</v>
      </c>
      <c r="L674" t="str">
        <f t="shared" si="43"/>
        <v>Weekday</v>
      </c>
      <c r="M674">
        <v>2</v>
      </c>
      <c r="N674" t="str" cm="1">
        <f t="array" ref="N674">_xlfn.IFS(M674=1,"Sunny Day",M674=2,"Cloudy Day",M674=3,"Rainy Day",M674=4,"Heavy Rain")</f>
        <v>Cloudy Day</v>
      </c>
      <c r="O674">
        <v>0.16</v>
      </c>
      <c r="P674">
        <v>0.1515</v>
      </c>
      <c r="Q674">
        <v>0.59</v>
      </c>
      <c r="R674">
        <v>0.19400000000000001</v>
      </c>
      <c r="S674">
        <v>6</v>
      </c>
      <c r="T674">
        <v>155</v>
      </c>
      <c r="U674">
        <v>161</v>
      </c>
    </row>
    <row r="675" spans="1:21" x14ac:dyDescent="0.3">
      <c r="A675">
        <v>683</v>
      </c>
      <c r="B675" t="s">
        <v>66</v>
      </c>
      <c r="C675" t="str">
        <f t="shared" si="41"/>
        <v>31-Jan-2011</v>
      </c>
      <c r="D675">
        <v>1</v>
      </c>
      <c r="E675">
        <v>0</v>
      </c>
      <c r="F675">
        <v>1</v>
      </c>
      <c r="G675" t="str">
        <f t="shared" si="40"/>
        <v>Jan</v>
      </c>
      <c r="H675">
        <v>18</v>
      </c>
      <c r="I675">
        <f t="shared" si="42"/>
        <v>1</v>
      </c>
      <c r="J675" t="s">
        <v>126</v>
      </c>
      <c r="K675">
        <v>1</v>
      </c>
      <c r="L675" t="str">
        <f t="shared" si="43"/>
        <v>Weekday</v>
      </c>
      <c r="M675">
        <v>2</v>
      </c>
      <c r="N675" t="str" cm="1">
        <f t="array" ref="N675">_xlfn.IFS(M675=1,"Sunny Day",M675=2,"Cloudy Day",M675=3,"Rainy Day",M675=4,"Heavy Rain")</f>
        <v>Cloudy Day</v>
      </c>
      <c r="O675">
        <v>0.16</v>
      </c>
      <c r="P675">
        <v>0.1515</v>
      </c>
      <c r="Q675">
        <v>0.55000000000000004</v>
      </c>
      <c r="R675">
        <v>0.22389999999999999</v>
      </c>
      <c r="S675">
        <v>3</v>
      </c>
      <c r="T675">
        <v>153</v>
      </c>
      <c r="U675">
        <v>156</v>
      </c>
    </row>
    <row r="676" spans="1:21" x14ac:dyDescent="0.3">
      <c r="A676">
        <v>684</v>
      </c>
      <c r="B676" t="s">
        <v>66</v>
      </c>
      <c r="C676" t="str">
        <f t="shared" si="41"/>
        <v>31-Jan-2011</v>
      </c>
      <c r="D676">
        <v>1</v>
      </c>
      <c r="E676">
        <v>0</v>
      </c>
      <c r="F676">
        <v>1</v>
      </c>
      <c r="G676" t="str">
        <f t="shared" si="40"/>
        <v>Jan</v>
      </c>
      <c r="H676">
        <v>19</v>
      </c>
      <c r="I676">
        <f t="shared" si="42"/>
        <v>1</v>
      </c>
      <c r="J676" t="s">
        <v>126</v>
      </c>
      <c r="K676">
        <v>1</v>
      </c>
      <c r="L676" t="str">
        <f t="shared" si="43"/>
        <v>Weekday</v>
      </c>
      <c r="M676">
        <v>1</v>
      </c>
      <c r="N676" t="str" cm="1">
        <f t="array" ref="N676">_xlfn.IFS(M676=1,"Sunny Day",M676=2,"Cloudy Day",M676=3,"Rainy Day",M676=4,"Heavy Rain")</f>
        <v>Sunny Day</v>
      </c>
      <c r="O676">
        <v>0.3</v>
      </c>
      <c r="P676">
        <v>0.31819999999999998</v>
      </c>
      <c r="Q676">
        <v>0.61</v>
      </c>
      <c r="R676">
        <v>0.1045</v>
      </c>
      <c r="S676">
        <v>3</v>
      </c>
      <c r="T676">
        <v>108</v>
      </c>
      <c r="U676">
        <v>111</v>
      </c>
    </row>
    <row r="677" spans="1:21" x14ac:dyDescent="0.3">
      <c r="A677">
        <v>685</v>
      </c>
      <c r="B677" t="s">
        <v>66</v>
      </c>
      <c r="C677" t="str">
        <f t="shared" si="41"/>
        <v>31-Jan-2011</v>
      </c>
      <c r="D677">
        <v>1</v>
      </c>
      <c r="E677">
        <v>0</v>
      </c>
      <c r="F677">
        <v>1</v>
      </c>
      <c r="G677" t="str">
        <f t="shared" si="40"/>
        <v>Jan</v>
      </c>
      <c r="H677">
        <v>20</v>
      </c>
      <c r="I677">
        <f t="shared" si="42"/>
        <v>1</v>
      </c>
      <c r="J677" t="s">
        <v>126</v>
      </c>
      <c r="K677">
        <v>1</v>
      </c>
      <c r="L677" t="str">
        <f t="shared" si="43"/>
        <v>Weekday</v>
      </c>
      <c r="M677">
        <v>3</v>
      </c>
      <c r="N677" t="str" cm="1">
        <f t="array" ref="N677">_xlfn.IFS(M677=1,"Sunny Day",M677=2,"Cloudy Day",M677=3,"Rainy Day",M677=4,"Heavy Rain")</f>
        <v>Rainy Day</v>
      </c>
      <c r="O677">
        <v>0.16</v>
      </c>
      <c r="P677">
        <v>0.16669999999999999</v>
      </c>
      <c r="Q677">
        <v>0.59</v>
      </c>
      <c r="R677">
        <v>0.16420000000000001</v>
      </c>
      <c r="S677">
        <v>0</v>
      </c>
      <c r="T677">
        <v>78</v>
      </c>
      <c r="U677">
        <v>78</v>
      </c>
    </row>
    <row r="678" spans="1:21" x14ac:dyDescent="0.3">
      <c r="A678">
        <v>686</v>
      </c>
      <c r="B678" t="s">
        <v>66</v>
      </c>
      <c r="C678" t="str">
        <f t="shared" si="41"/>
        <v>31-Jan-2011</v>
      </c>
      <c r="D678">
        <v>1</v>
      </c>
      <c r="E678">
        <v>0</v>
      </c>
      <c r="F678">
        <v>1</v>
      </c>
      <c r="G678" t="str">
        <f t="shared" si="40"/>
        <v>Jan</v>
      </c>
      <c r="H678">
        <v>21</v>
      </c>
      <c r="I678">
        <f t="shared" si="42"/>
        <v>1</v>
      </c>
      <c r="J678" t="s">
        <v>126</v>
      </c>
      <c r="K678">
        <v>1</v>
      </c>
      <c r="L678" t="str">
        <f t="shared" si="43"/>
        <v>Weekday</v>
      </c>
      <c r="M678">
        <v>3</v>
      </c>
      <c r="N678" t="str" cm="1">
        <f t="array" ref="N678">_xlfn.IFS(M678=1,"Sunny Day",M678=2,"Cloudy Day",M678=3,"Rainy Day",M678=4,"Heavy Rain")</f>
        <v>Rainy Day</v>
      </c>
      <c r="O678">
        <v>0.16</v>
      </c>
      <c r="P678">
        <v>0.19700000000000001</v>
      </c>
      <c r="Q678">
        <v>0.59</v>
      </c>
      <c r="R678">
        <v>8.9599999999999999E-2</v>
      </c>
      <c r="S678">
        <v>3</v>
      </c>
      <c r="T678">
        <v>53</v>
      </c>
      <c r="U678">
        <v>56</v>
      </c>
    </row>
    <row r="679" spans="1:21" x14ac:dyDescent="0.3">
      <c r="A679">
        <v>687</v>
      </c>
      <c r="B679" t="s">
        <v>66</v>
      </c>
      <c r="C679" t="str">
        <f t="shared" si="41"/>
        <v>31-Jan-2011</v>
      </c>
      <c r="D679">
        <v>1</v>
      </c>
      <c r="E679">
        <v>0</v>
      </c>
      <c r="F679">
        <v>1</v>
      </c>
      <c r="G679" t="str">
        <f t="shared" si="40"/>
        <v>Jan</v>
      </c>
      <c r="H679">
        <v>22</v>
      </c>
      <c r="I679">
        <f t="shared" si="42"/>
        <v>1</v>
      </c>
      <c r="J679" t="s">
        <v>126</v>
      </c>
      <c r="K679">
        <v>1</v>
      </c>
      <c r="L679" t="str">
        <f t="shared" si="43"/>
        <v>Weekday</v>
      </c>
      <c r="M679">
        <v>2</v>
      </c>
      <c r="N679" t="str" cm="1">
        <f t="array" ref="N679">_xlfn.IFS(M679=1,"Sunny Day",M679=2,"Cloudy Day",M679=3,"Rainy Day",M679=4,"Heavy Rain")</f>
        <v>Cloudy Day</v>
      </c>
      <c r="O679">
        <v>0.16</v>
      </c>
      <c r="P679">
        <v>0.18179999999999999</v>
      </c>
      <c r="Q679">
        <v>0.59</v>
      </c>
      <c r="R679">
        <v>0.1045</v>
      </c>
      <c r="S679">
        <v>0</v>
      </c>
      <c r="T679">
        <v>34</v>
      </c>
      <c r="U679">
        <v>34</v>
      </c>
    </row>
    <row r="680" spans="1:21" x14ac:dyDescent="0.3">
      <c r="A680">
        <v>688</v>
      </c>
      <c r="B680" t="s">
        <v>66</v>
      </c>
      <c r="C680" t="str">
        <f t="shared" si="41"/>
        <v>31-Jan-2011</v>
      </c>
      <c r="D680">
        <v>1</v>
      </c>
      <c r="E680">
        <v>0</v>
      </c>
      <c r="F680">
        <v>1</v>
      </c>
      <c r="G680" t="str">
        <f t="shared" si="40"/>
        <v>Jan</v>
      </c>
      <c r="H680">
        <v>23</v>
      </c>
      <c r="I680">
        <f t="shared" si="42"/>
        <v>1</v>
      </c>
      <c r="J680" t="s">
        <v>126</v>
      </c>
      <c r="K680">
        <v>1</v>
      </c>
      <c r="L680" t="str">
        <f t="shared" si="43"/>
        <v>Weekday</v>
      </c>
      <c r="M680">
        <v>2</v>
      </c>
      <c r="N680" t="str" cm="1">
        <f t="array" ref="N680">_xlfn.IFS(M680=1,"Sunny Day",M680=2,"Cloudy Day",M680=3,"Rainy Day",M680=4,"Heavy Rain")</f>
        <v>Cloudy Day</v>
      </c>
      <c r="O680">
        <v>0.16</v>
      </c>
      <c r="P680">
        <v>0.19700000000000001</v>
      </c>
      <c r="Q680">
        <v>0.64</v>
      </c>
      <c r="R680">
        <v>8.9599999999999999E-2</v>
      </c>
      <c r="S680">
        <v>2</v>
      </c>
      <c r="T680">
        <v>15</v>
      </c>
      <c r="U680">
        <v>17</v>
      </c>
    </row>
    <row r="681" spans="1:21" x14ac:dyDescent="0.3">
      <c r="A681">
        <v>689</v>
      </c>
      <c r="B681" t="s">
        <v>68</v>
      </c>
      <c r="C681" t="str">
        <f t="shared" si="41"/>
        <v>01-Feb-2011</v>
      </c>
      <c r="D681">
        <v>1</v>
      </c>
      <c r="E681">
        <v>0</v>
      </c>
      <c r="F681">
        <v>2</v>
      </c>
      <c r="G681" t="str">
        <f t="shared" si="40"/>
        <v>Feb</v>
      </c>
      <c r="H681">
        <v>0</v>
      </c>
      <c r="I681">
        <f t="shared" si="42"/>
        <v>0</v>
      </c>
      <c r="J681" t="s">
        <v>126</v>
      </c>
      <c r="K681">
        <v>2</v>
      </c>
      <c r="L681" t="str">
        <f t="shared" si="43"/>
        <v>Weekday</v>
      </c>
      <c r="M681">
        <v>2</v>
      </c>
      <c r="N681" t="str" cm="1">
        <f t="array" ref="N681">_xlfn.IFS(M681=1,"Sunny Day",M681=2,"Cloudy Day",M681=3,"Rainy Day",M681=4,"Heavy Rain")</f>
        <v>Cloudy Day</v>
      </c>
      <c r="O681">
        <v>0.16</v>
      </c>
      <c r="P681">
        <v>0.18179999999999999</v>
      </c>
      <c r="Q681">
        <v>0.64</v>
      </c>
      <c r="R681">
        <v>0.1045</v>
      </c>
      <c r="S681">
        <v>2</v>
      </c>
      <c r="T681">
        <v>6</v>
      </c>
      <c r="U681">
        <v>8</v>
      </c>
    </row>
    <row r="682" spans="1:21" x14ac:dyDescent="0.3">
      <c r="A682">
        <v>690</v>
      </c>
      <c r="B682" t="s">
        <v>68</v>
      </c>
      <c r="C682" t="str">
        <f t="shared" si="41"/>
        <v>01-Feb-2011</v>
      </c>
      <c r="D682">
        <v>1</v>
      </c>
      <c r="E682">
        <v>0</v>
      </c>
      <c r="F682">
        <v>2</v>
      </c>
      <c r="G682" t="str">
        <f t="shared" si="40"/>
        <v>Feb</v>
      </c>
      <c r="H682">
        <v>1</v>
      </c>
      <c r="I682">
        <f t="shared" si="42"/>
        <v>0</v>
      </c>
      <c r="J682" t="s">
        <v>126</v>
      </c>
      <c r="K682">
        <v>2</v>
      </c>
      <c r="L682" t="str">
        <f t="shared" si="43"/>
        <v>Weekday</v>
      </c>
      <c r="M682">
        <v>2</v>
      </c>
      <c r="N682" t="str" cm="1">
        <f t="array" ref="N682">_xlfn.IFS(M682=1,"Sunny Day",M682=2,"Cloudy Day",M682=3,"Rainy Day",M682=4,"Heavy Rain")</f>
        <v>Cloudy Day</v>
      </c>
      <c r="O682">
        <v>0.16</v>
      </c>
      <c r="P682">
        <v>0.18179999999999999</v>
      </c>
      <c r="Q682">
        <v>0.69</v>
      </c>
      <c r="R682">
        <v>0.1045</v>
      </c>
      <c r="S682">
        <v>0</v>
      </c>
      <c r="T682">
        <v>3</v>
      </c>
      <c r="U682">
        <v>3</v>
      </c>
    </row>
    <row r="683" spans="1:21" x14ac:dyDescent="0.3">
      <c r="A683">
        <v>691</v>
      </c>
      <c r="B683" t="s">
        <v>68</v>
      </c>
      <c r="C683" t="str">
        <f t="shared" si="41"/>
        <v>01-Feb-2011</v>
      </c>
      <c r="D683">
        <v>1</v>
      </c>
      <c r="E683">
        <v>0</v>
      </c>
      <c r="F683">
        <v>2</v>
      </c>
      <c r="G683" t="str">
        <f t="shared" si="40"/>
        <v>Feb</v>
      </c>
      <c r="H683">
        <v>2</v>
      </c>
      <c r="I683">
        <f t="shared" si="42"/>
        <v>0</v>
      </c>
      <c r="J683" t="s">
        <v>126</v>
      </c>
      <c r="K683">
        <v>2</v>
      </c>
      <c r="L683" t="str">
        <f t="shared" si="43"/>
        <v>Weekday</v>
      </c>
      <c r="M683">
        <v>2</v>
      </c>
      <c r="N683" t="str" cm="1">
        <f t="array" ref="N683">_xlfn.IFS(M683=1,"Sunny Day",M683=2,"Cloudy Day",M683=3,"Rainy Day",M683=4,"Heavy Rain")</f>
        <v>Cloudy Day</v>
      </c>
      <c r="O683">
        <v>0.16</v>
      </c>
      <c r="P683">
        <v>0.2273</v>
      </c>
      <c r="Q683">
        <v>0.69</v>
      </c>
      <c r="R683">
        <v>0</v>
      </c>
      <c r="S683">
        <v>0</v>
      </c>
      <c r="T683">
        <v>2</v>
      </c>
      <c r="U683">
        <v>2</v>
      </c>
    </row>
    <row r="684" spans="1:21" x14ac:dyDescent="0.3">
      <c r="A684">
        <v>692</v>
      </c>
      <c r="B684" t="s">
        <v>68</v>
      </c>
      <c r="C684" t="str">
        <f t="shared" si="41"/>
        <v>01-Feb-2011</v>
      </c>
      <c r="D684">
        <v>1</v>
      </c>
      <c r="E684">
        <v>0</v>
      </c>
      <c r="F684">
        <v>2</v>
      </c>
      <c r="G684" t="str">
        <f t="shared" si="40"/>
        <v>Feb</v>
      </c>
      <c r="H684">
        <v>3</v>
      </c>
      <c r="I684">
        <f t="shared" si="42"/>
        <v>0</v>
      </c>
      <c r="J684" t="s">
        <v>126</v>
      </c>
      <c r="K684">
        <v>2</v>
      </c>
      <c r="L684" t="str">
        <f t="shared" si="43"/>
        <v>Weekday</v>
      </c>
      <c r="M684">
        <v>2</v>
      </c>
      <c r="N684" t="str" cm="1">
        <f t="array" ref="N684">_xlfn.IFS(M684=1,"Sunny Day",M684=2,"Cloudy Day",M684=3,"Rainy Day",M684=4,"Heavy Rain")</f>
        <v>Cloudy Day</v>
      </c>
      <c r="O684">
        <v>0.16</v>
      </c>
      <c r="P684">
        <v>0.2273</v>
      </c>
      <c r="Q684">
        <v>0.69</v>
      </c>
      <c r="R684">
        <v>0</v>
      </c>
      <c r="S684">
        <v>0</v>
      </c>
      <c r="T684">
        <v>2</v>
      </c>
      <c r="U684">
        <v>2</v>
      </c>
    </row>
    <row r="685" spans="1:21" x14ac:dyDescent="0.3">
      <c r="A685">
        <v>693</v>
      </c>
      <c r="B685" t="s">
        <v>68</v>
      </c>
      <c r="C685" t="str">
        <f t="shared" si="41"/>
        <v>01-Feb-2011</v>
      </c>
      <c r="D685">
        <v>1</v>
      </c>
      <c r="E685">
        <v>0</v>
      </c>
      <c r="F685">
        <v>2</v>
      </c>
      <c r="G685" t="str">
        <f t="shared" si="40"/>
        <v>Feb</v>
      </c>
      <c r="H685">
        <v>5</v>
      </c>
      <c r="I685">
        <f t="shared" si="42"/>
        <v>0</v>
      </c>
      <c r="J685" t="s">
        <v>126</v>
      </c>
      <c r="K685">
        <v>2</v>
      </c>
      <c r="L685" t="str">
        <f t="shared" si="43"/>
        <v>Weekday</v>
      </c>
      <c r="M685">
        <v>3</v>
      </c>
      <c r="N685" t="str" cm="1">
        <f t="array" ref="N685">_xlfn.IFS(M685=1,"Sunny Day",M685=2,"Cloudy Day",M685=3,"Rainy Day",M685=4,"Heavy Rain")</f>
        <v>Rainy Day</v>
      </c>
      <c r="O685">
        <v>0.14000000000000001</v>
      </c>
      <c r="P685">
        <v>0.21210000000000001</v>
      </c>
      <c r="Q685">
        <v>0.93</v>
      </c>
      <c r="R685">
        <v>0</v>
      </c>
      <c r="S685">
        <v>0</v>
      </c>
      <c r="T685">
        <v>3</v>
      </c>
      <c r="U685">
        <v>3</v>
      </c>
    </row>
    <row r="686" spans="1:21" x14ac:dyDescent="0.3">
      <c r="A686">
        <v>694</v>
      </c>
      <c r="B686" t="s">
        <v>68</v>
      </c>
      <c r="C686" t="str">
        <f t="shared" si="41"/>
        <v>01-Feb-2011</v>
      </c>
      <c r="D686">
        <v>1</v>
      </c>
      <c r="E686">
        <v>0</v>
      </c>
      <c r="F686">
        <v>2</v>
      </c>
      <c r="G686" t="str">
        <f t="shared" si="40"/>
        <v>Feb</v>
      </c>
      <c r="H686">
        <v>6</v>
      </c>
      <c r="I686">
        <f t="shared" si="42"/>
        <v>0</v>
      </c>
      <c r="J686" t="s">
        <v>126</v>
      </c>
      <c r="K686">
        <v>2</v>
      </c>
      <c r="L686" t="str">
        <f t="shared" si="43"/>
        <v>Weekday</v>
      </c>
      <c r="M686">
        <v>3</v>
      </c>
      <c r="N686" t="str" cm="1">
        <f t="array" ref="N686">_xlfn.IFS(M686=1,"Sunny Day",M686=2,"Cloudy Day",M686=3,"Rainy Day",M686=4,"Heavy Rain")</f>
        <v>Rainy Day</v>
      </c>
      <c r="O686">
        <v>0.14000000000000001</v>
      </c>
      <c r="P686">
        <v>0.21210000000000001</v>
      </c>
      <c r="Q686">
        <v>0.93</v>
      </c>
      <c r="R686">
        <v>0</v>
      </c>
      <c r="S686">
        <v>0</v>
      </c>
      <c r="T686">
        <v>22</v>
      </c>
      <c r="U686">
        <v>22</v>
      </c>
    </row>
    <row r="687" spans="1:21" x14ac:dyDescent="0.3">
      <c r="A687">
        <v>695</v>
      </c>
      <c r="B687" t="s">
        <v>68</v>
      </c>
      <c r="C687" t="str">
        <f t="shared" si="41"/>
        <v>01-Feb-2011</v>
      </c>
      <c r="D687">
        <v>1</v>
      </c>
      <c r="E687">
        <v>0</v>
      </c>
      <c r="F687">
        <v>2</v>
      </c>
      <c r="G687" t="str">
        <f t="shared" si="40"/>
        <v>Feb</v>
      </c>
      <c r="H687">
        <v>7</v>
      </c>
      <c r="I687">
        <f t="shared" si="42"/>
        <v>0</v>
      </c>
      <c r="J687" t="s">
        <v>126</v>
      </c>
      <c r="K687">
        <v>2</v>
      </c>
      <c r="L687" t="str">
        <f t="shared" si="43"/>
        <v>Weekday</v>
      </c>
      <c r="M687">
        <v>3</v>
      </c>
      <c r="N687" t="str" cm="1">
        <f t="array" ref="N687">_xlfn.IFS(M687=1,"Sunny Day",M687=2,"Cloudy Day",M687=3,"Rainy Day",M687=4,"Heavy Rain")</f>
        <v>Rainy Day</v>
      </c>
      <c r="O687">
        <v>0.16</v>
      </c>
      <c r="P687">
        <v>0.2273</v>
      </c>
      <c r="Q687">
        <v>0.93</v>
      </c>
      <c r="R687">
        <v>0</v>
      </c>
      <c r="S687">
        <v>0</v>
      </c>
      <c r="T687">
        <v>52</v>
      </c>
      <c r="U687">
        <v>52</v>
      </c>
    </row>
    <row r="688" spans="1:21" x14ac:dyDescent="0.3">
      <c r="A688">
        <v>696</v>
      </c>
      <c r="B688" t="s">
        <v>68</v>
      </c>
      <c r="C688" t="str">
        <f t="shared" si="41"/>
        <v>01-Feb-2011</v>
      </c>
      <c r="D688">
        <v>1</v>
      </c>
      <c r="E688">
        <v>0</v>
      </c>
      <c r="F688">
        <v>2</v>
      </c>
      <c r="G688" t="str">
        <f t="shared" si="40"/>
        <v>Feb</v>
      </c>
      <c r="H688">
        <v>8</v>
      </c>
      <c r="I688">
        <f t="shared" si="42"/>
        <v>0</v>
      </c>
      <c r="J688" t="s">
        <v>126</v>
      </c>
      <c r="K688">
        <v>2</v>
      </c>
      <c r="L688" t="str">
        <f t="shared" si="43"/>
        <v>Weekday</v>
      </c>
      <c r="M688">
        <v>3</v>
      </c>
      <c r="N688" t="str" cm="1">
        <f t="array" ref="N688">_xlfn.IFS(M688=1,"Sunny Day",M688=2,"Cloudy Day",M688=3,"Rainy Day",M688=4,"Heavy Rain")</f>
        <v>Rainy Day</v>
      </c>
      <c r="O688">
        <v>0.16</v>
      </c>
      <c r="P688">
        <v>0.2273</v>
      </c>
      <c r="Q688">
        <v>0.93</v>
      </c>
      <c r="R688">
        <v>0</v>
      </c>
      <c r="S688">
        <v>3</v>
      </c>
      <c r="T688">
        <v>132</v>
      </c>
      <c r="U688">
        <v>135</v>
      </c>
    </row>
    <row r="689" spans="1:21" x14ac:dyDescent="0.3">
      <c r="A689">
        <v>697</v>
      </c>
      <c r="B689" t="s">
        <v>68</v>
      </c>
      <c r="C689" t="str">
        <f t="shared" si="41"/>
        <v>01-Feb-2011</v>
      </c>
      <c r="D689">
        <v>1</v>
      </c>
      <c r="E689">
        <v>0</v>
      </c>
      <c r="F689">
        <v>2</v>
      </c>
      <c r="G689" t="str">
        <f t="shared" si="40"/>
        <v>Feb</v>
      </c>
      <c r="H689">
        <v>9</v>
      </c>
      <c r="I689">
        <f t="shared" si="42"/>
        <v>0</v>
      </c>
      <c r="J689" t="s">
        <v>126</v>
      </c>
      <c r="K689">
        <v>2</v>
      </c>
      <c r="L689" t="str">
        <f t="shared" si="43"/>
        <v>Weekday</v>
      </c>
      <c r="M689">
        <v>2</v>
      </c>
      <c r="N689" t="str" cm="1">
        <f t="array" ref="N689">_xlfn.IFS(M689=1,"Sunny Day",M689=2,"Cloudy Day",M689=3,"Rainy Day",M689=4,"Heavy Rain")</f>
        <v>Cloudy Day</v>
      </c>
      <c r="O689">
        <v>0.16</v>
      </c>
      <c r="P689">
        <v>0.2273</v>
      </c>
      <c r="Q689">
        <v>0.93</v>
      </c>
      <c r="R689">
        <v>0</v>
      </c>
      <c r="S689">
        <v>2</v>
      </c>
      <c r="T689">
        <v>114</v>
      </c>
      <c r="U689">
        <v>116</v>
      </c>
    </row>
    <row r="690" spans="1:21" x14ac:dyDescent="0.3">
      <c r="A690">
        <v>698</v>
      </c>
      <c r="B690" t="s">
        <v>68</v>
      </c>
      <c r="C690" t="str">
        <f t="shared" si="41"/>
        <v>01-Feb-2011</v>
      </c>
      <c r="D690">
        <v>1</v>
      </c>
      <c r="E690">
        <v>0</v>
      </c>
      <c r="F690">
        <v>2</v>
      </c>
      <c r="G690" t="str">
        <f t="shared" si="40"/>
        <v>Feb</v>
      </c>
      <c r="H690">
        <v>10</v>
      </c>
      <c r="I690">
        <f t="shared" si="42"/>
        <v>0</v>
      </c>
      <c r="J690" t="s">
        <v>126</v>
      </c>
      <c r="K690">
        <v>2</v>
      </c>
      <c r="L690" t="str">
        <f t="shared" si="43"/>
        <v>Weekday</v>
      </c>
      <c r="M690">
        <v>2</v>
      </c>
      <c r="N690" t="str" cm="1">
        <f t="array" ref="N690">_xlfn.IFS(M690=1,"Sunny Day",M690=2,"Cloudy Day",M690=3,"Rainy Day",M690=4,"Heavy Rain")</f>
        <v>Cloudy Day</v>
      </c>
      <c r="O690">
        <v>0.16</v>
      </c>
      <c r="P690">
        <v>0.2273</v>
      </c>
      <c r="Q690">
        <v>0.93</v>
      </c>
      <c r="R690">
        <v>0</v>
      </c>
      <c r="S690">
        <v>0</v>
      </c>
      <c r="T690">
        <v>47</v>
      </c>
      <c r="U690">
        <v>47</v>
      </c>
    </row>
    <row r="691" spans="1:21" x14ac:dyDescent="0.3">
      <c r="A691">
        <v>699</v>
      </c>
      <c r="B691" t="s">
        <v>68</v>
      </c>
      <c r="C691" t="str">
        <f t="shared" si="41"/>
        <v>01-Feb-2011</v>
      </c>
      <c r="D691">
        <v>1</v>
      </c>
      <c r="E691">
        <v>0</v>
      </c>
      <c r="F691">
        <v>2</v>
      </c>
      <c r="G691" t="str">
        <f t="shared" si="40"/>
        <v>Feb</v>
      </c>
      <c r="H691">
        <v>11</v>
      </c>
      <c r="I691">
        <f t="shared" si="42"/>
        <v>1</v>
      </c>
      <c r="J691" t="s">
        <v>126</v>
      </c>
      <c r="K691">
        <v>2</v>
      </c>
      <c r="L691" t="str">
        <f t="shared" si="43"/>
        <v>Weekday</v>
      </c>
      <c r="M691">
        <v>2</v>
      </c>
      <c r="N691" t="str" cm="1">
        <f t="array" ref="N691">_xlfn.IFS(M691=1,"Sunny Day",M691=2,"Cloudy Day",M691=3,"Rainy Day",M691=4,"Heavy Rain")</f>
        <v>Cloudy Day</v>
      </c>
      <c r="O691">
        <v>0.18</v>
      </c>
      <c r="P691">
        <v>0.2424</v>
      </c>
      <c r="Q691">
        <v>0.86</v>
      </c>
      <c r="R691">
        <v>0</v>
      </c>
      <c r="S691">
        <v>2</v>
      </c>
      <c r="T691">
        <v>49</v>
      </c>
      <c r="U691">
        <v>51</v>
      </c>
    </row>
    <row r="692" spans="1:21" x14ac:dyDescent="0.3">
      <c r="A692">
        <v>700</v>
      </c>
      <c r="B692" t="s">
        <v>68</v>
      </c>
      <c r="C692" t="str">
        <f t="shared" si="41"/>
        <v>01-Feb-2011</v>
      </c>
      <c r="D692">
        <v>1</v>
      </c>
      <c r="E692">
        <v>0</v>
      </c>
      <c r="F692">
        <v>2</v>
      </c>
      <c r="G692" t="str">
        <f t="shared" si="40"/>
        <v>Feb</v>
      </c>
      <c r="H692">
        <v>12</v>
      </c>
      <c r="I692">
        <f t="shared" si="42"/>
        <v>1</v>
      </c>
      <c r="J692" t="s">
        <v>126</v>
      </c>
      <c r="K692">
        <v>2</v>
      </c>
      <c r="L692" t="str">
        <f t="shared" si="43"/>
        <v>Weekday</v>
      </c>
      <c r="M692">
        <v>2</v>
      </c>
      <c r="N692" t="str" cm="1">
        <f t="array" ref="N692">_xlfn.IFS(M692=1,"Sunny Day",M692=2,"Cloudy Day",M692=3,"Rainy Day",M692=4,"Heavy Rain")</f>
        <v>Cloudy Day</v>
      </c>
      <c r="O692">
        <v>0.2</v>
      </c>
      <c r="P692">
        <v>0.2576</v>
      </c>
      <c r="Q692">
        <v>0.86</v>
      </c>
      <c r="R692">
        <v>0</v>
      </c>
      <c r="S692">
        <v>2</v>
      </c>
      <c r="T692">
        <v>53</v>
      </c>
      <c r="U692">
        <v>55</v>
      </c>
    </row>
    <row r="693" spans="1:21" x14ac:dyDescent="0.3">
      <c r="A693">
        <v>701</v>
      </c>
      <c r="B693" t="s">
        <v>68</v>
      </c>
      <c r="C693" t="str">
        <f t="shared" si="41"/>
        <v>01-Feb-2011</v>
      </c>
      <c r="D693">
        <v>1</v>
      </c>
      <c r="E693">
        <v>0</v>
      </c>
      <c r="F693">
        <v>2</v>
      </c>
      <c r="G693" t="str">
        <f t="shared" si="40"/>
        <v>Feb</v>
      </c>
      <c r="H693">
        <v>13</v>
      </c>
      <c r="I693">
        <f t="shared" si="42"/>
        <v>1</v>
      </c>
      <c r="J693" t="s">
        <v>126</v>
      </c>
      <c r="K693">
        <v>2</v>
      </c>
      <c r="L693" t="str">
        <f t="shared" si="43"/>
        <v>Weekday</v>
      </c>
      <c r="M693">
        <v>2</v>
      </c>
      <c r="N693" t="str" cm="1">
        <f t="array" ref="N693">_xlfn.IFS(M693=1,"Sunny Day",M693=2,"Cloudy Day",M693=3,"Rainy Day",M693=4,"Heavy Rain")</f>
        <v>Cloudy Day</v>
      </c>
      <c r="O693">
        <v>0.2</v>
      </c>
      <c r="P693">
        <v>0.2576</v>
      </c>
      <c r="Q693">
        <v>0.86</v>
      </c>
      <c r="R693">
        <v>0</v>
      </c>
      <c r="S693">
        <v>3</v>
      </c>
      <c r="T693">
        <v>49</v>
      </c>
      <c r="U693">
        <v>52</v>
      </c>
    </row>
    <row r="694" spans="1:21" x14ac:dyDescent="0.3">
      <c r="A694">
        <v>702</v>
      </c>
      <c r="B694" t="s">
        <v>68</v>
      </c>
      <c r="C694" t="str">
        <f t="shared" si="41"/>
        <v>01-Feb-2011</v>
      </c>
      <c r="D694">
        <v>1</v>
      </c>
      <c r="E694">
        <v>0</v>
      </c>
      <c r="F694">
        <v>2</v>
      </c>
      <c r="G694" t="str">
        <f t="shared" si="40"/>
        <v>Feb</v>
      </c>
      <c r="H694">
        <v>14</v>
      </c>
      <c r="I694">
        <f t="shared" si="42"/>
        <v>1</v>
      </c>
      <c r="J694" t="s">
        <v>126</v>
      </c>
      <c r="K694">
        <v>2</v>
      </c>
      <c r="L694" t="str">
        <f t="shared" si="43"/>
        <v>Weekday</v>
      </c>
      <c r="M694">
        <v>2</v>
      </c>
      <c r="N694" t="str" cm="1">
        <f t="array" ref="N694">_xlfn.IFS(M694=1,"Sunny Day",M694=2,"Cloudy Day",M694=3,"Rainy Day",M694=4,"Heavy Rain")</f>
        <v>Cloudy Day</v>
      </c>
      <c r="O694">
        <v>0.22</v>
      </c>
      <c r="P694">
        <v>0.2576</v>
      </c>
      <c r="Q694">
        <v>0.8</v>
      </c>
      <c r="R694">
        <v>8.9599999999999999E-2</v>
      </c>
      <c r="S694">
        <v>5</v>
      </c>
      <c r="T694">
        <v>49</v>
      </c>
      <c r="U694">
        <v>54</v>
      </c>
    </row>
    <row r="695" spans="1:21" x14ac:dyDescent="0.3">
      <c r="A695">
        <v>703</v>
      </c>
      <c r="B695" t="s">
        <v>68</v>
      </c>
      <c r="C695" t="str">
        <f t="shared" si="41"/>
        <v>01-Feb-2011</v>
      </c>
      <c r="D695">
        <v>1</v>
      </c>
      <c r="E695">
        <v>0</v>
      </c>
      <c r="F695">
        <v>2</v>
      </c>
      <c r="G695" t="str">
        <f t="shared" si="40"/>
        <v>Feb</v>
      </c>
      <c r="H695">
        <v>15</v>
      </c>
      <c r="I695">
        <f t="shared" si="42"/>
        <v>1</v>
      </c>
      <c r="J695" t="s">
        <v>126</v>
      </c>
      <c r="K695">
        <v>2</v>
      </c>
      <c r="L695" t="str">
        <f t="shared" si="43"/>
        <v>Weekday</v>
      </c>
      <c r="M695">
        <v>2</v>
      </c>
      <c r="N695" t="str" cm="1">
        <f t="array" ref="N695">_xlfn.IFS(M695=1,"Sunny Day",M695=2,"Cloudy Day",M695=3,"Rainy Day",M695=4,"Heavy Rain")</f>
        <v>Cloudy Day</v>
      </c>
      <c r="O695">
        <v>0.24</v>
      </c>
      <c r="P695">
        <v>0.28789999999999999</v>
      </c>
      <c r="Q695">
        <v>0.75</v>
      </c>
      <c r="R695">
        <v>0</v>
      </c>
      <c r="S695">
        <v>7</v>
      </c>
      <c r="T695">
        <v>45</v>
      </c>
      <c r="U695">
        <v>52</v>
      </c>
    </row>
    <row r="696" spans="1:21" x14ac:dyDescent="0.3">
      <c r="A696">
        <v>704</v>
      </c>
      <c r="B696" t="s">
        <v>68</v>
      </c>
      <c r="C696" t="str">
        <f t="shared" si="41"/>
        <v>01-Feb-2011</v>
      </c>
      <c r="D696">
        <v>1</v>
      </c>
      <c r="E696">
        <v>0</v>
      </c>
      <c r="F696">
        <v>2</v>
      </c>
      <c r="G696" t="str">
        <f t="shared" si="40"/>
        <v>Feb</v>
      </c>
      <c r="H696">
        <v>16</v>
      </c>
      <c r="I696">
        <f t="shared" si="42"/>
        <v>1</v>
      </c>
      <c r="J696" t="s">
        <v>126</v>
      </c>
      <c r="K696">
        <v>2</v>
      </c>
      <c r="L696" t="str">
        <f t="shared" si="43"/>
        <v>Weekday</v>
      </c>
      <c r="M696">
        <v>2</v>
      </c>
      <c r="N696" t="str" cm="1">
        <f t="array" ref="N696">_xlfn.IFS(M696=1,"Sunny Day",M696=2,"Cloudy Day",M696=3,"Rainy Day",M696=4,"Heavy Rain")</f>
        <v>Cloudy Day</v>
      </c>
      <c r="O696">
        <v>0.24</v>
      </c>
      <c r="P696">
        <v>0.2424</v>
      </c>
      <c r="Q696">
        <v>0.75</v>
      </c>
      <c r="R696">
        <v>0.1343</v>
      </c>
      <c r="S696">
        <v>3</v>
      </c>
      <c r="T696">
        <v>61</v>
      </c>
      <c r="U696">
        <v>64</v>
      </c>
    </row>
    <row r="697" spans="1:21" x14ac:dyDescent="0.3">
      <c r="A697">
        <v>705</v>
      </c>
      <c r="B697" t="s">
        <v>68</v>
      </c>
      <c r="C697" t="str">
        <f t="shared" si="41"/>
        <v>01-Feb-2011</v>
      </c>
      <c r="D697">
        <v>1</v>
      </c>
      <c r="E697">
        <v>0</v>
      </c>
      <c r="F697">
        <v>2</v>
      </c>
      <c r="G697" t="str">
        <f t="shared" si="40"/>
        <v>Feb</v>
      </c>
      <c r="H697">
        <v>17</v>
      </c>
      <c r="I697">
        <f t="shared" si="42"/>
        <v>1</v>
      </c>
      <c r="J697" t="s">
        <v>126</v>
      </c>
      <c r="K697">
        <v>2</v>
      </c>
      <c r="L697" t="str">
        <f t="shared" si="43"/>
        <v>Weekday</v>
      </c>
      <c r="M697">
        <v>2</v>
      </c>
      <c r="N697" t="str" cm="1">
        <f t="array" ref="N697">_xlfn.IFS(M697=1,"Sunny Day",M697=2,"Cloudy Day",M697=3,"Rainy Day",M697=4,"Heavy Rain")</f>
        <v>Cloudy Day</v>
      </c>
      <c r="O697">
        <v>0.24</v>
      </c>
      <c r="P697">
        <v>0.28789999999999999</v>
      </c>
      <c r="Q697">
        <v>0.75</v>
      </c>
      <c r="R697">
        <v>0</v>
      </c>
      <c r="S697">
        <v>4</v>
      </c>
      <c r="T697">
        <v>172</v>
      </c>
      <c r="U697">
        <v>176</v>
      </c>
    </row>
    <row r="698" spans="1:21" x14ac:dyDescent="0.3">
      <c r="A698">
        <v>706</v>
      </c>
      <c r="B698" t="s">
        <v>68</v>
      </c>
      <c r="C698" t="str">
        <f t="shared" si="41"/>
        <v>01-Feb-2011</v>
      </c>
      <c r="D698">
        <v>1</v>
      </c>
      <c r="E698">
        <v>0</v>
      </c>
      <c r="F698">
        <v>2</v>
      </c>
      <c r="G698" t="str">
        <f t="shared" si="40"/>
        <v>Feb</v>
      </c>
      <c r="H698">
        <v>18</v>
      </c>
      <c r="I698">
        <f t="shared" si="42"/>
        <v>1</v>
      </c>
      <c r="J698" t="s">
        <v>126</v>
      </c>
      <c r="K698">
        <v>2</v>
      </c>
      <c r="L698" t="str">
        <f t="shared" si="43"/>
        <v>Weekday</v>
      </c>
      <c r="M698">
        <v>2</v>
      </c>
      <c r="N698" t="str" cm="1">
        <f t="array" ref="N698">_xlfn.IFS(M698=1,"Sunny Day",M698=2,"Cloudy Day",M698=3,"Rainy Day",M698=4,"Heavy Rain")</f>
        <v>Cloudy Day</v>
      </c>
      <c r="O698">
        <v>0.24</v>
      </c>
      <c r="P698">
        <v>0.2576</v>
      </c>
      <c r="Q698">
        <v>0.81</v>
      </c>
      <c r="R698">
        <v>0.1045</v>
      </c>
      <c r="S698">
        <v>3</v>
      </c>
      <c r="T698">
        <v>165</v>
      </c>
      <c r="U698">
        <v>168</v>
      </c>
    </row>
    <row r="699" spans="1:21" x14ac:dyDescent="0.3">
      <c r="A699">
        <v>707</v>
      </c>
      <c r="B699" t="s">
        <v>68</v>
      </c>
      <c r="C699" t="str">
        <f t="shared" si="41"/>
        <v>01-Feb-2011</v>
      </c>
      <c r="D699">
        <v>1</v>
      </c>
      <c r="E699">
        <v>0</v>
      </c>
      <c r="F699">
        <v>2</v>
      </c>
      <c r="G699" t="str">
        <f t="shared" si="40"/>
        <v>Feb</v>
      </c>
      <c r="H699">
        <v>19</v>
      </c>
      <c r="I699">
        <f t="shared" si="42"/>
        <v>1</v>
      </c>
      <c r="J699" t="s">
        <v>126</v>
      </c>
      <c r="K699">
        <v>2</v>
      </c>
      <c r="L699" t="str">
        <f t="shared" si="43"/>
        <v>Weekday</v>
      </c>
      <c r="M699">
        <v>2</v>
      </c>
      <c r="N699" t="str" cm="1">
        <f t="array" ref="N699">_xlfn.IFS(M699=1,"Sunny Day",M699=2,"Cloudy Day",M699=3,"Rainy Day",M699=4,"Heavy Rain")</f>
        <v>Cloudy Day</v>
      </c>
      <c r="O699">
        <v>0.24</v>
      </c>
      <c r="P699">
        <v>0.2424</v>
      </c>
      <c r="Q699">
        <v>0.81</v>
      </c>
      <c r="R699">
        <v>0.1343</v>
      </c>
      <c r="S699">
        <v>3</v>
      </c>
      <c r="T699">
        <v>105</v>
      </c>
      <c r="U699">
        <v>108</v>
      </c>
    </row>
    <row r="700" spans="1:21" x14ac:dyDescent="0.3">
      <c r="A700">
        <v>708</v>
      </c>
      <c r="B700" t="s">
        <v>68</v>
      </c>
      <c r="C700" t="str">
        <f t="shared" si="41"/>
        <v>01-Feb-2011</v>
      </c>
      <c r="D700">
        <v>1</v>
      </c>
      <c r="E700">
        <v>0</v>
      </c>
      <c r="F700">
        <v>2</v>
      </c>
      <c r="G700" t="str">
        <f t="shared" si="40"/>
        <v>Feb</v>
      </c>
      <c r="H700">
        <v>20</v>
      </c>
      <c r="I700">
        <f t="shared" si="42"/>
        <v>1</v>
      </c>
      <c r="J700" t="s">
        <v>126</v>
      </c>
      <c r="K700">
        <v>2</v>
      </c>
      <c r="L700" t="str">
        <f t="shared" si="43"/>
        <v>Weekday</v>
      </c>
      <c r="M700">
        <v>2</v>
      </c>
      <c r="N700" t="str" cm="1">
        <f t="array" ref="N700">_xlfn.IFS(M700=1,"Sunny Day",M700=2,"Cloudy Day",M700=3,"Rainy Day",M700=4,"Heavy Rain")</f>
        <v>Cloudy Day</v>
      </c>
      <c r="O700">
        <v>0.22</v>
      </c>
      <c r="P700">
        <v>0.2273</v>
      </c>
      <c r="Q700">
        <v>0.87</v>
      </c>
      <c r="R700">
        <v>0.1343</v>
      </c>
      <c r="S700">
        <v>5</v>
      </c>
      <c r="T700">
        <v>69</v>
      </c>
      <c r="U700">
        <v>74</v>
      </c>
    </row>
    <row r="701" spans="1:21" x14ac:dyDescent="0.3">
      <c r="A701">
        <v>709</v>
      </c>
      <c r="B701" t="s">
        <v>68</v>
      </c>
      <c r="C701" t="str">
        <f t="shared" si="41"/>
        <v>01-Feb-2011</v>
      </c>
      <c r="D701">
        <v>1</v>
      </c>
      <c r="E701">
        <v>0</v>
      </c>
      <c r="F701">
        <v>2</v>
      </c>
      <c r="G701" t="str">
        <f t="shared" si="40"/>
        <v>Feb</v>
      </c>
      <c r="H701">
        <v>21</v>
      </c>
      <c r="I701">
        <f t="shared" si="42"/>
        <v>1</v>
      </c>
      <c r="J701" t="s">
        <v>126</v>
      </c>
      <c r="K701">
        <v>2</v>
      </c>
      <c r="L701" t="str">
        <f t="shared" si="43"/>
        <v>Weekday</v>
      </c>
      <c r="M701">
        <v>2</v>
      </c>
      <c r="N701" t="str" cm="1">
        <f t="array" ref="N701">_xlfn.IFS(M701=1,"Sunny Day",M701=2,"Cloudy Day",M701=3,"Rainy Day",M701=4,"Heavy Rain")</f>
        <v>Cloudy Day</v>
      </c>
      <c r="O701">
        <v>0.22</v>
      </c>
      <c r="P701">
        <v>0.2273</v>
      </c>
      <c r="Q701">
        <v>0.87</v>
      </c>
      <c r="R701">
        <v>0.1343</v>
      </c>
      <c r="S701">
        <v>0</v>
      </c>
      <c r="T701">
        <v>64</v>
      </c>
      <c r="U701">
        <v>64</v>
      </c>
    </row>
    <row r="702" spans="1:21" x14ac:dyDescent="0.3">
      <c r="A702">
        <v>710</v>
      </c>
      <c r="B702" t="s">
        <v>68</v>
      </c>
      <c r="C702" t="str">
        <f t="shared" si="41"/>
        <v>01-Feb-2011</v>
      </c>
      <c r="D702">
        <v>1</v>
      </c>
      <c r="E702">
        <v>0</v>
      </c>
      <c r="F702">
        <v>2</v>
      </c>
      <c r="G702" t="str">
        <f t="shared" si="40"/>
        <v>Feb</v>
      </c>
      <c r="H702">
        <v>22</v>
      </c>
      <c r="I702">
        <f t="shared" si="42"/>
        <v>1</v>
      </c>
      <c r="J702" t="s">
        <v>126</v>
      </c>
      <c r="K702">
        <v>2</v>
      </c>
      <c r="L702" t="str">
        <f t="shared" si="43"/>
        <v>Weekday</v>
      </c>
      <c r="M702">
        <v>2</v>
      </c>
      <c r="N702" t="str" cm="1">
        <f t="array" ref="N702">_xlfn.IFS(M702=1,"Sunny Day",M702=2,"Cloudy Day",M702=3,"Rainy Day",M702=4,"Heavy Rain")</f>
        <v>Cloudy Day</v>
      </c>
      <c r="O702">
        <v>0.22</v>
      </c>
      <c r="P702">
        <v>0.2576</v>
      </c>
      <c r="Q702">
        <v>0.87</v>
      </c>
      <c r="R702">
        <v>8.9599999999999999E-2</v>
      </c>
      <c r="S702">
        <v>2</v>
      </c>
      <c r="T702">
        <v>34</v>
      </c>
      <c r="U702">
        <v>36</v>
      </c>
    </row>
    <row r="703" spans="1:21" x14ac:dyDescent="0.3">
      <c r="A703">
        <v>711</v>
      </c>
      <c r="B703" t="s">
        <v>68</v>
      </c>
      <c r="C703" t="str">
        <f t="shared" si="41"/>
        <v>01-Feb-2011</v>
      </c>
      <c r="D703">
        <v>1</v>
      </c>
      <c r="E703">
        <v>0</v>
      </c>
      <c r="F703">
        <v>2</v>
      </c>
      <c r="G703" t="str">
        <f t="shared" si="40"/>
        <v>Feb</v>
      </c>
      <c r="H703">
        <v>23</v>
      </c>
      <c r="I703">
        <f t="shared" si="42"/>
        <v>1</v>
      </c>
      <c r="J703" t="s">
        <v>126</v>
      </c>
      <c r="K703">
        <v>2</v>
      </c>
      <c r="L703" t="str">
        <f t="shared" si="43"/>
        <v>Weekday</v>
      </c>
      <c r="M703">
        <v>3</v>
      </c>
      <c r="N703" t="str" cm="1">
        <f t="array" ref="N703">_xlfn.IFS(M703=1,"Sunny Day",M703=2,"Cloudy Day",M703=3,"Rainy Day",M703=4,"Heavy Rain")</f>
        <v>Rainy Day</v>
      </c>
      <c r="O703">
        <v>0.2</v>
      </c>
      <c r="P703">
        <v>0.19700000000000001</v>
      </c>
      <c r="Q703">
        <v>0.93</v>
      </c>
      <c r="R703">
        <v>0.19400000000000001</v>
      </c>
      <c r="S703">
        <v>1</v>
      </c>
      <c r="T703">
        <v>15</v>
      </c>
      <c r="U703">
        <v>16</v>
      </c>
    </row>
    <row r="704" spans="1:21" x14ac:dyDescent="0.3">
      <c r="A704">
        <v>712</v>
      </c>
      <c r="B704" t="s">
        <v>71</v>
      </c>
      <c r="C704" t="str">
        <f t="shared" si="41"/>
        <v>02-Feb-2011</v>
      </c>
      <c r="D704">
        <v>1</v>
      </c>
      <c r="E704">
        <v>0</v>
      </c>
      <c r="F704">
        <v>2</v>
      </c>
      <c r="G704" t="str">
        <f t="shared" si="40"/>
        <v>Feb</v>
      </c>
      <c r="H704">
        <v>0</v>
      </c>
      <c r="I704">
        <f t="shared" si="42"/>
        <v>0</v>
      </c>
      <c r="J704" t="s">
        <v>126</v>
      </c>
      <c r="K704">
        <v>3</v>
      </c>
      <c r="L704" t="str">
        <f t="shared" si="43"/>
        <v>Weekday</v>
      </c>
      <c r="M704">
        <v>3</v>
      </c>
      <c r="N704" t="str" cm="1">
        <f t="array" ref="N704">_xlfn.IFS(M704=1,"Sunny Day",M704=2,"Cloudy Day",M704=3,"Rainy Day",M704=4,"Heavy Rain")</f>
        <v>Rainy Day</v>
      </c>
      <c r="O704">
        <v>0.22</v>
      </c>
      <c r="P704">
        <v>0.2424</v>
      </c>
      <c r="Q704">
        <v>0.93</v>
      </c>
      <c r="R704">
        <v>0.1045</v>
      </c>
      <c r="S704">
        <v>0</v>
      </c>
      <c r="T704">
        <v>2</v>
      </c>
      <c r="U704">
        <v>2</v>
      </c>
    </row>
    <row r="705" spans="1:21" x14ac:dyDescent="0.3">
      <c r="A705">
        <v>713</v>
      </c>
      <c r="B705" t="s">
        <v>71</v>
      </c>
      <c r="C705" t="str">
        <f t="shared" si="41"/>
        <v>02-Feb-2011</v>
      </c>
      <c r="D705">
        <v>1</v>
      </c>
      <c r="E705">
        <v>0</v>
      </c>
      <c r="F705">
        <v>2</v>
      </c>
      <c r="G705" t="str">
        <f t="shared" si="40"/>
        <v>Feb</v>
      </c>
      <c r="H705">
        <v>1</v>
      </c>
      <c r="I705">
        <f t="shared" si="42"/>
        <v>0</v>
      </c>
      <c r="J705" t="s">
        <v>126</v>
      </c>
      <c r="K705">
        <v>3</v>
      </c>
      <c r="L705" t="str">
        <f t="shared" si="43"/>
        <v>Weekday</v>
      </c>
      <c r="M705">
        <v>3</v>
      </c>
      <c r="N705" t="str" cm="1">
        <f t="array" ref="N705">_xlfn.IFS(M705=1,"Sunny Day",M705=2,"Cloudy Day",M705=3,"Rainy Day",M705=4,"Heavy Rain")</f>
        <v>Rainy Day</v>
      </c>
      <c r="O705">
        <v>0.22</v>
      </c>
      <c r="P705">
        <v>0.2273</v>
      </c>
      <c r="Q705">
        <v>0.93</v>
      </c>
      <c r="R705">
        <v>0.19400000000000001</v>
      </c>
      <c r="S705">
        <v>0</v>
      </c>
      <c r="T705">
        <v>3</v>
      </c>
      <c r="U705">
        <v>3</v>
      </c>
    </row>
    <row r="706" spans="1:21" x14ac:dyDescent="0.3">
      <c r="A706">
        <v>714</v>
      </c>
      <c r="B706" t="s">
        <v>71</v>
      </c>
      <c r="C706" t="str">
        <f t="shared" si="41"/>
        <v>02-Feb-2011</v>
      </c>
      <c r="D706">
        <v>1</v>
      </c>
      <c r="E706">
        <v>0</v>
      </c>
      <c r="F706">
        <v>2</v>
      </c>
      <c r="G706" t="str">
        <f t="shared" ref="G706:G769" si="44">TEXT(C706,"mmm")</f>
        <v>Feb</v>
      </c>
      <c r="H706">
        <v>2</v>
      </c>
      <c r="I706">
        <f t="shared" si="42"/>
        <v>0</v>
      </c>
      <c r="J706" t="s">
        <v>126</v>
      </c>
      <c r="K706">
        <v>3</v>
      </c>
      <c r="L706" t="str">
        <f t="shared" si="43"/>
        <v>Weekday</v>
      </c>
      <c r="M706">
        <v>3</v>
      </c>
      <c r="N706" t="str" cm="1">
        <f t="array" ref="N706">_xlfn.IFS(M706=1,"Sunny Day",M706=2,"Cloudy Day",M706=3,"Rainy Day",M706=4,"Heavy Rain")</f>
        <v>Rainy Day</v>
      </c>
      <c r="O706">
        <v>0.22</v>
      </c>
      <c r="P706">
        <v>0.2273</v>
      </c>
      <c r="Q706">
        <v>0.93</v>
      </c>
      <c r="R706">
        <v>0.1343</v>
      </c>
      <c r="S706">
        <v>4</v>
      </c>
      <c r="T706">
        <v>0</v>
      </c>
      <c r="U706">
        <v>4</v>
      </c>
    </row>
    <row r="707" spans="1:21" x14ac:dyDescent="0.3">
      <c r="A707">
        <v>715</v>
      </c>
      <c r="B707" t="s">
        <v>71</v>
      </c>
      <c r="C707" t="str">
        <f t="shared" ref="C707:C770" si="45">TEXT(DATEVALUE(B707),"dd-mmm-yyyy")</f>
        <v>02-Feb-2011</v>
      </c>
      <c r="D707">
        <v>1</v>
      </c>
      <c r="E707">
        <v>0</v>
      </c>
      <c r="F707">
        <v>2</v>
      </c>
      <c r="G707" t="str">
        <f t="shared" si="44"/>
        <v>Feb</v>
      </c>
      <c r="H707">
        <v>3</v>
      </c>
      <c r="I707">
        <f t="shared" ref="I707:I770" si="46">IF(AND(H707&gt;=0,H707&lt;=10),0,1)</f>
        <v>0</v>
      </c>
      <c r="J707" t="s">
        <v>126</v>
      </c>
      <c r="K707">
        <v>3</v>
      </c>
      <c r="L707" t="str">
        <f t="shared" ref="L707:L770" si="47">IF(AND(K707&gt;=1,K707&lt;=5),"Weekday","Weekend")</f>
        <v>Weekday</v>
      </c>
      <c r="M707">
        <v>3</v>
      </c>
      <c r="N707" t="str" cm="1">
        <f t="array" ref="N707">_xlfn.IFS(M707=1,"Sunny Day",M707=2,"Cloudy Day",M707=3,"Rainy Day",M707=4,"Heavy Rain")</f>
        <v>Rainy Day</v>
      </c>
      <c r="O707">
        <v>0.22</v>
      </c>
      <c r="P707">
        <v>0.2273</v>
      </c>
      <c r="Q707">
        <v>0.93</v>
      </c>
      <c r="R707">
        <v>0.1343</v>
      </c>
      <c r="S707">
        <v>0</v>
      </c>
      <c r="T707">
        <v>1</v>
      </c>
      <c r="U707">
        <v>1</v>
      </c>
    </row>
    <row r="708" spans="1:21" x14ac:dyDescent="0.3">
      <c r="A708">
        <v>716</v>
      </c>
      <c r="B708" t="s">
        <v>71</v>
      </c>
      <c r="C708" t="str">
        <f t="shared" si="45"/>
        <v>02-Feb-2011</v>
      </c>
      <c r="D708">
        <v>1</v>
      </c>
      <c r="E708">
        <v>0</v>
      </c>
      <c r="F708">
        <v>2</v>
      </c>
      <c r="G708" t="str">
        <f t="shared" si="44"/>
        <v>Feb</v>
      </c>
      <c r="H708">
        <v>4</v>
      </c>
      <c r="I708">
        <f t="shared" si="46"/>
        <v>0</v>
      </c>
      <c r="J708" t="s">
        <v>126</v>
      </c>
      <c r="K708">
        <v>3</v>
      </c>
      <c r="L708" t="str">
        <f t="shared" si="47"/>
        <v>Weekday</v>
      </c>
      <c r="M708">
        <v>3</v>
      </c>
      <c r="N708" t="str" cm="1">
        <f t="array" ref="N708">_xlfn.IFS(M708=1,"Sunny Day",M708=2,"Cloudy Day",M708=3,"Rainy Day",M708=4,"Heavy Rain")</f>
        <v>Rainy Day</v>
      </c>
      <c r="O708">
        <v>0.22</v>
      </c>
      <c r="P708">
        <v>0.21210000000000001</v>
      </c>
      <c r="Q708">
        <v>0.93</v>
      </c>
      <c r="R708">
        <v>0.28360000000000002</v>
      </c>
      <c r="S708">
        <v>0</v>
      </c>
      <c r="T708">
        <v>1</v>
      </c>
      <c r="U708">
        <v>1</v>
      </c>
    </row>
    <row r="709" spans="1:21" x14ac:dyDescent="0.3">
      <c r="A709">
        <v>717</v>
      </c>
      <c r="B709" t="s">
        <v>71</v>
      </c>
      <c r="C709" t="str">
        <f t="shared" si="45"/>
        <v>02-Feb-2011</v>
      </c>
      <c r="D709">
        <v>1</v>
      </c>
      <c r="E709">
        <v>0</v>
      </c>
      <c r="F709">
        <v>2</v>
      </c>
      <c r="G709" t="str">
        <f t="shared" si="44"/>
        <v>Feb</v>
      </c>
      <c r="H709">
        <v>5</v>
      </c>
      <c r="I709">
        <f t="shared" si="46"/>
        <v>0</v>
      </c>
      <c r="J709" t="s">
        <v>126</v>
      </c>
      <c r="K709">
        <v>3</v>
      </c>
      <c r="L709" t="str">
        <f t="shared" si="47"/>
        <v>Weekday</v>
      </c>
      <c r="M709">
        <v>3</v>
      </c>
      <c r="N709" t="str" cm="1">
        <f t="array" ref="N709">_xlfn.IFS(M709=1,"Sunny Day",M709=2,"Cloudy Day",M709=3,"Rainy Day",M709=4,"Heavy Rain")</f>
        <v>Rainy Day</v>
      </c>
      <c r="O709">
        <v>0.22</v>
      </c>
      <c r="P709">
        <v>0.2424</v>
      </c>
      <c r="Q709">
        <v>0.93</v>
      </c>
      <c r="R709">
        <v>0.1045</v>
      </c>
      <c r="S709">
        <v>0</v>
      </c>
      <c r="T709">
        <v>3</v>
      </c>
      <c r="U709">
        <v>3</v>
      </c>
    </row>
    <row r="710" spans="1:21" x14ac:dyDescent="0.3">
      <c r="A710">
        <v>718</v>
      </c>
      <c r="B710" t="s">
        <v>71</v>
      </c>
      <c r="C710" t="str">
        <f t="shared" si="45"/>
        <v>02-Feb-2011</v>
      </c>
      <c r="D710">
        <v>1</v>
      </c>
      <c r="E710">
        <v>0</v>
      </c>
      <c r="F710">
        <v>2</v>
      </c>
      <c r="G710" t="str">
        <f t="shared" si="44"/>
        <v>Feb</v>
      </c>
      <c r="H710">
        <v>6</v>
      </c>
      <c r="I710">
        <f t="shared" si="46"/>
        <v>0</v>
      </c>
      <c r="J710" t="s">
        <v>126</v>
      </c>
      <c r="K710">
        <v>3</v>
      </c>
      <c r="L710" t="str">
        <f t="shared" si="47"/>
        <v>Weekday</v>
      </c>
      <c r="M710">
        <v>3</v>
      </c>
      <c r="N710" t="str" cm="1">
        <f t="array" ref="N710">_xlfn.IFS(M710=1,"Sunny Day",M710=2,"Cloudy Day",M710=3,"Rainy Day",M710=4,"Heavy Rain")</f>
        <v>Rainy Day</v>
      </c>
      <c r="O710">
        <v>0.22</v>
      </c>
      <c r="P710">
        <v>0.2424</v>
      </c>
      <c r="Q710">
        <v>0.93</v>
      </c>
      <c r="R710">
        <v>0.1045</v>
      </c>
      <c r="S710">
        <v>1</v>
      </c>
      <c r="T710">
        <v>17</v>
      </c>
      <c r="U710">
        <v>18</v>
      </c>
    </row>
    <row r="711" spans="1:21" x14ac:dyDescent="0.3">
      <c r="A711">
        <v>719</v>
      </c>
      <c r="B711" t="s">
        <v>71</v>
      </c>
      <c r="C711" t="str">
        <f t="shared" si="45"/>
        <v>02-Feb-2011</v>
      </c>
      <c r="D711">
        <v>1</v>
      </c>
      <c r="E711">
        <v>0</v>
      </c>
      <c r="F711">
        <v>2</v>
      </c>
      <c r="G711" t="str">
        <f t="shared" si="44"/>
        <v>Feb</v>
      </c>
      <c r="H711">
        <v>7</v>
      </c>
      <c r="I711">
        <f t="shared" si="46"/>
        <v>0</v>
      </c>
      <c r="J711" t="s">
        <v>126</v>
      </c>
      <c r="K711">
        <v>3</v>
      </c>
      <c r="L711" t="str">
        <f t="shared" si="47"/>
        <v>Weekday</v>
      </c>
      <c r="M711">
        <v>3</v>
      </c>
      <c r="N711" t="str" cm="1">
        <f t="array" ref="N711">_xlfn.IFS(M711=1,"Sunny Day",M711=2,"Cloudy Day",M711=3,"Rainy Day",M711=4,"Heavy Rain")</f>
        <v>Rainy Day</v>
      </c>
      <c r="O711">
        <v>0.22</v>
      </c>
      <c r="P711">
        <v>0.21210000000000001</v>
      </c>
      <c r="Q711">
        <v>0.93</v>
      </c>
      <c r="R711">
        <v>0.22389999999999999</v>
      </c>
      <c r="S711">
        <v>1</v>
      </c>
      <c r="T711">
        <v>48</v>
      </c>
      <c r="U711">
        <v>49</v>
      </c>
    </row>
    <row r="712" spans="1:21" x14ac:dyDescent="0.3">
      <c r="A712">
        <v>720</v>
      </c>
      <c r="B712" t="s">
        <v>71</v>
      </c>
      <c r="C712" t="str">
        <f t="shared" si="45"/>
        <v>02-Feb-2011</v>
      </c>
      <c r="D712">
        <v>1</v>
      </c>
      <c r="E712">
        <v>0</v>
      </c>
      <c r="F712">
        <v>2</v>
      </c>
      <c r="G712" t="str">
        <f t="shared" si="44"/>
        <v>Feb</v>
      </c>
      <c r="H712">
        <v>8</v>
      </c>
      <c r="I712">
        <f t="shared" si="46"/>
        <v>0</v>
      </c>
      <c r="J712" t="s">
        <v>126</v>
      </c>
      <c r="K712">
        <v>3</v>
      </c>
      <c r="L712" t="str">
        <f t="shared" si="47"/>
        <v>Weekday</v>
      </c>
      <c r="M712">
        <v>3</v>
      </c>
      <c r="N712" t="str" cm="1">
        <f t="array" ref="N712">_xlfn.IFS(M712=1,"Sunny Day",M712=2,"Cloudy Day",M712=3,"Rainy Day",M712=4,"Heavy Rain")</f>
        <v>Rainy Day</v>
      </c>
      <c r="O712">
        <v>0.22</v>
      </c>
      <c r="P712">
        <v>0.21210000000000001</v>
      </c>
      <c r="Q712">
        <v>0.93</v>
      </c>
      <c r="R712">
        <v>0.22389999999999999</v>
      </c>
      <c r="S712">
        <v>1</v>
      </c>
      <c r="T712">
        <v>154</v>
      </c>
      <c r="U712">
        <v>155</v>
      </c>
    </row>
    <row r="713" spans="1:21" x14ac:dyDescent="0.3">
      <c r="A713">
        <v>721</v>
      </c>
      <c r="B713" t="s">
        <v>71</v>
      </c>
      <c r="C713" t="str">
        <f t="shared" si="45"/>
        <v>02-Feb-2011</v>
      </c>
      <c r="D713">
        <v>1</v>
      </c>
      <c r="E713">
        <v>0</v>
      </c>
      <c r="F713">
        <v>2</v>
      </c>
      <c r="G713" t="str">
        <f t="shared" si="44"/>
        <v>Feb</v>
      </c>
      <c r="H713">
        <v>9</v>
      </c>
      <c r="I713">
        <f t="shared" si="46"/>
        <v>0</v>
      </c>
      <c r="J713" t="s">
        <v>126</v>
      </c>
      <c r="K713">
        <v>3</v>
      </c>
      <c r="L713" t="str">
        <f t="shared" si="47"/>
        <v>Weekday</v>
      </c>
      <c r="M713">
        <v>2</v>
      </c>
      <c r="N713" t="str" cm="1">
        <f t="array" ref="N713">_xlfn.IFS(M713=1,"Sunny Day",M713=2,"Cloudy Day",M713=3,"Rainy Day",M713=4,"Heavy Rain")</f>
        <v>Cloudy Day</v>
      </c>
      <c r="O713">
        <v>0.24</v>
      </c>
      <c r="P713">
        <v>0.2576</v>
      </c>
      <c r="Q713">
        <v>0.93</v>
      </c>
      <c r="R713">
        <v>8.9599999999999999E-2</v>
      </c>
      <c r="S713">
        <v>4</v>
      </c>
      <c r="T713">
        <v>119</v>
      </c>
      <c r="U713">
        <v>123</v>
      </c>
    </row>
    <row r="714" spans="1:21" x14ac:dyDescent="0.3">
      <c r="A714">
        <v>722</v>
      </c>
      <c r="B714" t="s">
        <v>71</v>
      </c>
      <c r="C714" t="str">
        <f t="shared" si="45"/>
        <v>02-Feb-2011</v>
      </c>
      <c r="D714">
        <v>1</v>
      </c>
      <c r="E714">
        <v>0</v>
      </c>
      <c r="F714">
        <v>2</v>
      </c>
      <c r="G714" t="str">
        <f t="shared" si="44"/>
        <v>Feb</v>
      </c>
      <c r="H714">
        <v>10</v>
      </c>
      <c r="I714">
        <f t="shared" si="46"/>
        <v>0</v>
      </c>
      <c r="J714" t="s">
        <v>126</v>
      </c>
      <c r="K714">
        <v>3</v>
      </c>
      <c r="L714" t="str">
        <f t="shared" si="47"/>
        <v>Weekday</v>
      </c>
      <c r="M714">
        <v>2</v>
      </c>
      <c r="N714" t="str" cm="1">
        <f t="array" ref="N714">_xlfn.IFS(M714=1,"Sunny Day",M714=2,"Cloudy Day",M714=3,"Rainy Day",M714=4,"Heavy Rain")</f>
        <v>Cloudy Day</v>
      </c>
      <c r="O714">
        <v>0.22</v>
      </c>
      <c r="P714">
        <v>0.2727</v>
      </c>
      <c r="Q714">
        <v>1</v>
      </c>
      <c r="R714">
        <v>0</v>
      </c>
      <c r="S714">
        <v>2</v>
      </c>
      <c r="T714">
        <v>59</v>
      </c>
      <c r="U714">
        <v>61</v>
      </c>
    </row>
    <row r="715" spans="1:21" x14ac:dyDescent="0.3">
      <c r="A715">
        <v>723</v>
      </c>
      <c r="B715" t="s">
        <v>71</v>
      </c>
      <c r="C715" t="str">
        <f t="shared" si="45"/>
        <v>02-Feb-2011</v>
      </c>
      <c r="D715">
        <v>1</v>
      </c>
      <c r="E715">
        <v>0</v>
      </c>
      <c r="F715">
        <v>2</v>
      </c>
      <c r="G715" t="str">
        <f t="shared" si="44"/>
        <v>Feb</v>
      </c>
      <c r="H715">
        <v>11</v>
      </c>
      <c r="I715">
        <f t="shared" si="46"/>
        <v>1</v>
      </c>
      <c r="J715" t="s">
        <v>126</v>
      </c>
      <c r="K715">
        <v>3</v>
      </c>
      <c r="L715" t="str">
        <f t="shared" si="47"/>
        <v>Weekday</v>
      </c>
      <c r="M715">
        <v>2</v>
      </c>
      <c r="N715" t="str" cm="1">
        <f t="array" ref="N715">_xlfn.IFS(M715=1,"Sunny Day",M715=2,"Cloudy Day",M715=3,"Rainy Day",M715=4,"Heavy Rain")</f>
        <v>Cloudy Day</v>
      </c>
      <c r="O715">
        <v>0.24</v>
      </c>
      <c r="P715">
        <v>0.2273</v>
      </c>
      <c r="Q715">
        <v>0.93</v>
      </c>
      <c r="R715">
        <v>0.19400000000000001</v>
      </c>
      <c r="S715">
        <v>5</v>
      </c>
      <c r="T715">
        <v>47</v>
      </c>
      <c r="U715">
        <v>52</v>
      </c>
    </row>
    <row r="716" spans="1:21" x14ac:dyDescent="0.3">
      <c r="A716">
        <v>724</v>
      </c>
      <c r="B716" t="s">
        <v>71</v>
      </c>
      <c r="C716" t="str">
        <f t="shared" si="45"/>
        <v>02-Feb-2011</v>
      </c>
      <c r="D716">
        <v>1</v>
      </c>
      <c r="E716">
        <v>0</v>
      </c>
      <c r="F716">
        <v>2</v>
      </c>
      <c r="G716" t="str">
        <f t="shared" si="44"/>
        <v>Feb</v>
      </c>
      <c r="H716">
        <v>12</v>
      </c>
      <c r="I716">
        <f t="shared" si="46"/>
        <v>1</v>
      </c>
      <c r="J716" t="s">
        <v>126</v>
      </c>
      <c r="K716">
        <v>3</v>
      </c>
      <c r="L716" t="str">
        <f t="shared" si="47"/>
        <v>Weekday</v>
      </c>
      <c r="M716">
        <v>2</v>
      </c>
      <c r="N716" t="str" cm="1">
        <f t="array" ref="N716">_xlfn.IFS(M716=1,"Sunny Day",M716=2,"Cloudy Day",M716=3,"Rainy Day",M716=4,"Heavy Rain")</f>
        <v>Cloudy Day</v>
      </c>
      <c r="O716">
        <v>0.24</v>
      </c>
      <c r="P716">
        <v>0.2273</v>
      </c>
      <c r="Q716">
        <v>0.93</v>
      </c>
      <c r="R716">
        <v>0.22389999999999999</v>
      </c>
      <c r="S716">
        <v>3</v>
      </c>
      <c r="T716">
        <v>61</v>
      </c>
      <c r="U716">
        <v>64</v>
      </c>
    </row>
    <row r="717" spans="1:21" x14ac:dyDescent="0.3">
      <c r="A717">
        <v>725</v>
      </c>
      <c r="B717" t="s">
        <v>71</v>
      </c>
      <c r="C717" t="str">
        <f t="shared" si="45"/>
        <v>02-Feb-2011</v>
      </c>
      <c r="D717">
        <v>1</v>
      </c>
      <c r="E717">
        <v>0</v>
      </c>
      <c r="F717">
        <v>2</v>
      </c>
      <c r="G717" t="str">
        <f t="shared" si="44"/>
        <v>Feb</v>
      </c>
      <c r="H717">
        <v>13</v>
      </c>
      <c r="I717">
        <f t="shared" si="46"/>
        <v>1</v>
      </c>
      <c r="J717" t="s">
        <v>126</v>
      </c>
      <c r="K717">
        <v>3</v>
      </c>
      <c r="L717" t="str">
        <f t="shared" si="47"/>
        <v>Weekday</v>
      </c>
      <c r="M717">
        <v>1</v>
      </c>
      <c r="N717" t="str" cm="1">
        <f t="array" ref="N717">_xlfn.IFS(M717=1,"Sunny Day",M717=2,"Cloudy Day",M717=3,"Rainy Day",M717=4,"Heavy Rain")</f>
        <v>Sunny Day</v>
      </c>
      <c r="O717">
        <v>0.34</v>
      </c>
      <c r="P717">
        <v>0.33329999999999999</v>
      </c>
      <c r="Q717">
        <v>0.93</v>
      </c>
      <c r="R717">
        <v>0.16420000000000001</v>
      </c>
      <c r="S717">
        <v>1</v>
      </c>
      <c r="T717">
        <v>74</v>
      </c>
      <c r="U717">
        <v>75</v>
      </c>
    </row>
    <row r="718" spans="1:21" x14ac:dyDescent="0.3">
      <c r="A718">
        <v>726</v>
      </c>
      <c r="B718" t="s">
        <v>71</v>
      </c>
      <c r="C718" t="str">
        <f t="shared" si="45"/>
        <v>02-Feb-2011</v>
      </c>
      <c r="D718">
        <v>1</v>
      </c>
      <c r="E718">
        <v>0</v>
      </c>
      <c r="F718">
        <v>2</v>
      </c>
      <c r="G718" t="str">
        <f t="shared" si="44"/>
        <v>Feb</v>
      </c>
      <c r="H718">
        <v>14</v>
      </c>
      <c r="I718">
        <f t="shared" si="46"/>
        <v>1</v>
      </c>
      <c r="J718" t="s">
        <v>126</v>
      </c>
      <c r="K718">
        <v>3</v>
      </c>
      <c r="L718" t="str">
        <f t="shared" si="47"/>
        <v>Weekday</v>
      </c>
      <c r="M718">
        <v>1</v>
      </c>
      <c r="N718" t="str" cm="1">
        <f t="array" ref="N718">_xlfn.IFS(M718=1,"Sunny Day",M718=2,"Cloudy Day",M718=3,"Rainy Day",M718=4,"Heavy Rain")</f>
        <v>Sunny Day</v>
      </c>
      <c r="O718">
        <v>0.38</v>
      </c>
      <c r="P718">
        <v>0.39389999999999997</v>
      </c>
      <c r="Q718">
        <v>0.82</v>
      </c>
      <c r="R718">
        <v>0.3881</v>
      </c>
      <c r="S718">
        <v>2</v>
      </c>
      <c r="T718">
        <v>61</v>
      </c>
      <c r="U718">
        <v>63</v>
      </c>
    </row>
    <row r="719" spans="1:21" x14ac:dyDescent="0.3">
      <c r="A719">
        <v>727</v>
      </c>
      <c r="B719" t="s">
        <v>71</v>
      </c>
      <c r="C719" t="str">
        <f t="shared" si="45"/>
        <v>02-Feb-2011</v>
      </c>
      <c r="D719">
        <v>1</v>
      </c>
      <c r="E719">
        <v>0</v>
      </c>
      <c r="F719">
        <v>2</v>
      </c>
      <c r="G719" t="str">
        <f t="shared" si="44"/>
        <v>Feb</v>
      </c>
      <c r="H719">
        <v>15</v>
      </c>
      <c r="I719">
        <f t="shared" si="46"/>
        <v>1</v>
      </c>
      <c r="J719" t="s">
        <v>126</v>
      </c>
      <c r="K719">
        <v>3</v>
      </c>
      <c r="L719" t="str">
        <f t="shared" si="47"/>
        <v>Weekday</v>
      </c>
      <c r="M719">
        <v>1</v>
      </c>
      <c r="N719" t="str" cm="1">
        <f t="array" ref="N719">_xlfn.IFS(M719=1,"Sunny Day",M719=2,"Cloudy Day",M719=3,"Rainy Day",M719=4,"Heavy Rain")</f>
        <v>Sunny Day</v>
      </c>
      <c r="O719">
        <v>0.38</v>
      </c>
      <c r="P719">
        <v>0.39389999999999997</v>
      </c>
      <c r="Q719">
        <v>0.76</v>
      </c>
      <c r="R719">
        <v>0.32840000000000003</v>
      </c>
      <c r="S719">
        <v>10</v>
      </c>
      <c r="T719">
        <v>66</v>
      </c>
      <c r="U719">
        <v>76</v>
      </c>
    </row>
    <row r="720" spans="1:21" x14ac:dyDescent="0.3">
      <c r="A720">
        <v>728</v>
      </c>
      <c r="B720" t="s">
        <v>71</v>
      </c>
      <c r="C720" t="str">
        <f t="shared" si="45"/>
        <v>02-Feb-2011</v>
      </c>
      <c r="D720">
        <v>1</v>
      </c>
      <c r="E720">
        <v>0</v>
      </c>
      <c r="F720">
        <v>2</v>
      </c>
      <c r="G720" t="str">
        <f t="shared" si="44"/>
        <v>Feb</v>
      </c>
      <c r="H720">
        <v>16</v>
      </c>
      <c r="I720">
        <f t="shared" si="46"/>
        <v>1</v>
      </c>
      <c r="J720" t="s">
        <v>126</v>
      </c>
      <c r="K720">
        <v>3</v>
      </c>
      <c r="L720" t="str">
        <f t="shared" si="47"/>
        <v>Weekday</v>
      </c>
      <c r="M720">
        <v>1</v>
      </c>
      <c r="N720" t="str" cm="1">
        <f t="array" ref="N720">_xlfn.IFS(M720=1,"Sunny Day",M720=2,"Cloudy Day",M720=3,"Rainy Day",M720=4,"Heavy Rain")</f>
        <v>Sunny Day</v>
      </c>
      <c r="O720">
        <v>0.36</v>
      </c>
      <c r="P720">
        <v>0.33329999999999999</v>
      </c>
      <c r="Q720">
        <v>0.71</v>
      </c>
      <c r="R720">
        <v>0.29849999999999999</v>
      </c>
      <c r="S720">
        <v>8</v>
      </c>
      <c r="T720">
        <v>95</v>
      </c>
      <c r="U720">
        <v>103</v>
      </c>
    </row>
    <row r="721" spans="1:21" x14ac:dyDescent="0.3">
      <c r="A721">
        <v>729</v>
      </c>
      <c r="B721" t="s">
        <v>71</v>
      </c>
      <c r="C721" t="str">
        <f t="shared" si="45"/>
        <v>02-Feb-2011</v>
      </c>
      <c r="D721">
        <v>1</v>
      </c>
      <c r="E721">
        <v>0</v>
      </c>
      <c r="F721">
        <v>2</v>
      </c>
      <c r="G721" t="str">
        <f t="shared" si="44"/>
        <v>Feb</v>
      </c>
      <c r="H721">
        <v>17</v>
      </c>
      <c r="I721">
        <f t="shared" si="46"/>
        <v>1</v>
      </c>
      <c r="J721" t="s">
        <v>126</v>
      </c>
      <c r="K721">
        <v>3</v>
      </c>
      <c r="L721" t="str">
        <f t="shared" si="47"/>
        <v>Weekday</v>
      </c>
      <c r="M721">
        <v>1</v>
      </c>
      <c r="N721" t="str" cm="1">
        <f t="array" ref="N721">_xlfn.IFS(M721=1,"Sunny Day",M721=2,"Cloudy Day",M721=3,"Rainy Day",M721=4,"Heavy Rain")</f>
        <v>Sunny Day</v>
      </c>
      <c r="O721">
        <v>0.36</v>
      </c>
      <c r="P721">
        <v>0.31819999999999998</v>
      </c>
      <c r="Q721">
        <v>0.53</v>
      </c>
      <c r="R721">
        <v>0.52239999999999998</v>
      </c>
      <c r="S721">
        <v>7</v>
      </c>
      <c r="T721">
        <v>183</v>
      </c>
      <c r="U721">
        <v>190</v>
      </c>
    </row>
    <row r="722" spans="1:21" x14ac:dyDescent="0.3">
      <c r="A722">
        <v>730</v>
      </c>
      <c r="B722" t="s">
        <v>71</v>
      </c>
      <c r="C722" t="str">
        <f t="shared" si="45"/>
        <v>02-Feb-2011</v>
      </c>
      <c r="D722">
        <v>1</v>
      </c>
      <c r="E722">
        <v>0</v>
      </c>
      <c r="F722">
        <v>2</v>
      </c>
      <c r="G722" t="str">
        <f t="shared" si="44"/>
        <v>Feb</v>
      </c>
      <c r="H722">
        <v>18</v>
      </c>
      <c r="I722">
        <f t="shared" si="46"/>
        <v>1</v>
      </c>
      <c r="J722" t="s">
        <v>126</v>
      </c>
      <c r="K722">
        <v>3</v>
      </c>
      <c r="L722" t="str">
        <f t="shared" si="47"/>
        <v>Weekday</v>
      </c>
      <c r="M722">
        <v>1</v>
      </c>
      <c r="N722" t="str" cm="1">
        <f t="array" ref="N722">_xlfn.IFS(M722=1,"Sunny Day",M722=2,"Cloudy Day",M722=3,"Rainy Day",M722=4,"Heavy Rain")</f>
        <v>Sunny Day</v>
      </c>
      <c r="O722">
        <v>0.34</v>
      </c>
      <c r="P722">
        <v>0.28789999999999999</v>
      </c>
      <c r="Q722">
        <v>0.42</v>
      </c>
      <c r="R722">
        <v>0.55220000000000002</v>
      </c>
      <c r="S722">
        <v>7</v>
      </c>
      <c r="T722">
        <v>175</v>
      </c>
      <c r="U722">
        <v>182</v>
      </c>
    </row>
    <row r="723" spans="1:21" x14ac:dyDescent="0.3">
      <c r="A723">
        <v>731</v>
      </c>
      <c r="B723" t="s">
        <v>71</v>
      </c>
      <c r="C723" t="str">
        <f t="shared" si="45"/>
        <v>02-Feb-2011</v>
      </c>
      <c r="D723">
        <v>1</v>
      </c>
      <c r="E723">
        <v>0</v>
      </c>
      <c r="F723">
        <v>2</v>
      </c>
      <c r="G723" t="str">
        <f t="shared" si="44"/>
        <v>Feb</v>
      </c>
      <c r="H723">
        <v>19</v>
      </c>
      <c r="I723">
        <f t="shared" si="46"/>
        <v>1</v>
      </c>
      <c r="J723" t="s">
        <v>126</v>
      </c>
      <c r="K723">
        <v>3</v>
      </c>
      <c r="L723" t="str">
        <f t="shared" si="47"/>
        <v>Weekday</v>
      </c>
      <c r="M723">
        <v>1</v>
      </c>
      <c r="N723" t="str" cm="1">
        <f t="array" ref="N723">_xlfn.IFS(M723=1,"Sunny Day",M723=2,"Cloudy Day",M723=3,"Rainy Day",M723=4,"Heavy Rain")</f>
        <v>Sunny Day</v>
      </c>
      <c r="O723">
        <v>0.28000000000000003</v>
      </c>
      <c r="P723">
        <v>0.2424</v>
      </c>
      <c r="Q723">
        <v>0.45</v>
      </c>
      <c r="R723">
        <v>0.49249999999999999</v>
      </c>
      <c r="S723">
        <v>3</v>
      </c>
      <c r="T723">
        <v>88</v>
      </c>
      <c r="U723">
        <v>91</v>
      </c>
    </row>
    <row r="724" spans="1:21" x14ac:dyDescent="0.3">
      <c r="A724">
        <v>732</v>
      </c>
      <c r="B724" t="s">
        <v>71</v>
      </c>
      <c r="C724" t="str">
        <f t="shared" si="45"/>
        <v>02-Feb-2011</v>
      </c>
      <c r="D724">
        <v>1</v>
      </c>
      <c r="E724">
        <v>0</v>
      </c>
      <c r="F724">
        <v>2</v>
      </c>
      <c r="G724" t="str">
        <f t="shared" si="44"/>
        <v>Feb</v>
      </c>
      <c r="H724">
        <v>20</v>
      </c>
      <c r="I724">
        <f t="shared" si="46"/>
        <v>1</v>
      </c>
      <c r="J724" t="s">
        <v>126</v>
      </c>
      <c r="K724">
        <v>3</v>
      </c>
      <c r="L724" t="str">
        <f t="shared" si="47"/>
        <v>Weekday</v>
      </c>
      <c r="M724">
        <v>1</v>
      </c>
      <c r="N724" t="str" cm="1">
        <f t="array" ref="N724">_xlfn.IFS(M724=1,"Sunny Day",M724=2,"Cloudy Day",M724=3,"Rainy Day",M724=4,"Heavy Rain")</f>
        <v>Sunny Day</v>
      </c>
      <c r="O724">
        <v>0.24</v>
      </c>
      <c r="P724">
        <v>0.19700000000000001</v>
      </c>
      <c r="Q724">
        <v>0.48</v>
      </c>
      <c r="R724">
        <v>0.55220000000000002</v>
      </c>
      <c r="S724">
        <v>4</v>
      </c>
      <c r="T724">
        <v>71</v>
      </c>
      <c r="U724">
        <v>75</v>
      </c>
    </row>
    <row r="725" spans="1:21" x14ac:dyDescent="0.3">
      <c r="A725">
        <v>733</v>
      </c>
      <c r="B725" t="s">
        <v>71</v>
      </c>
      <c r="C725" t="str">
        <f t="shared" si="45"/>
        <v>02-Feb-2011</v>
      </c>
      <c r="D725">
        <v>1</v>
      </c>
      <c r="E725">
        <v>0</v>
      </c>
      <c r="F725">
        <v>2</v>
      </c>
      <c r="G725" t="str">
        <f t="shared" si="44"/>
        <v>Feb</v>
      </c>
      <c r="H725">
        <v>21</v>
      </c>
      <c r="I725">
        <f t="shared" si="46"/>
        <v>1</v>
      </c>
      <c r="J725" t="s">
        <v>126</v>
      </c>
      <c r="K725">
        <v>3</v>
      </c>
      <c r="L725" t="str">
        <f t="shared" si="47"/>
        <v>Weekday</v>
      </c>
      <c r="M725">
        <v>1</v>
      </c>
      <c r="N725" t="str" cm="1">
        <f t="array" ref="N725">_xlfn.IFS(M725=1,"Sunny Day",M725=2,"Cloudy Day",M725=3,"Rainy Day",M725=4,"Heavy Rain")</f>
        <v>Sunny Day</v>
      </c>
      <c r="O725">
        <v>0.22</v>
      </c>
      <c r="P725">
        <v>0.19700000000000001</v>
      </c>
      <c r="Q725">
        <v>0.47</v>
      </c>
      <c r="R725">
        <v>0.32840000000000003</v>
      </c>
      <c r="S725">
        <v>1</v>
      </c>
      <c r="T725">
        <v>62</v>
      </c>
      <c r="U725">
        <v>63</v>
      </c>
    </row>
    <row r="726" spans="1:21" x14ac:dyDescent="0.3">
      <c r="A726">
        <v>734</v>
      </c>
      <c r="B726" t="s">
        <v>71</v>
      </c>
      <c r="C726" t="str">
        <f t="shared" si="45"/>
        <v>02-Feb-2011</v>
      </c>
      <c r="D726">
        <v>1</v>
      </c>
      <c r="E726">
        <v>0</v>
      </c>
      <c r="F726">
        <v>2</v>
      </c>
      <c r="G726" t="str">
        <f t="shared" si="44"/>
        <v>Feb</v>
      </c>
      <c r="H726">
        <v>22</v>
      </c>
      <c r="I726">
        <f t="shared" si="46"/>
        <v>1</v>
      </c>
      <c r="J726" t="s">
        <v>126</v>
      </c>
      <c r="K726">
        <v>3</v>
      </c>
      <c r="L726" t="str">
        <f t="shared" si="47"/>
        <v>Weekday</v>
      </c>
      <c r="M726">
        <v>1</v>
      </c>
      <c r="N726" t="str" cm="1">
        <f t="array" ref="N726">_xlfn.IFS(M726=1,"Sunny Day",M726=2,"Cloudy Day",M726=3,"Rainy Day",M726=4,"Heavy Rain")</f>
        <v>Sunny Day</v>
      </c>
      <c r="O726">
        <v>0.22</v>
      </c>
      <c r="P726">
        <v>0.21210000000000001</v>
      </c>
      <c r="Q726">
        <v>0.44</v>
      </c>
      <c r="R726">
        <v>0.25369999999999998</v>
      </c>
      <c r="S726">
        <v>5</v>
      </c>
      <c r="T726">
        <v>35</v>
      </c>
      <c r="U726">
        <v>40</v>
      </c>
    </row>
    <row r="727" spans="1:21" x14ac:dyDescent="0.3">
      <c r="A727">
        <v>735</v>
      </c>
      <c r="B727" t="s">
        <v>71</v>
      </c>
      <c r="C727" t="str">
        <f t="shared" si="45"/>
        <v>02-Feb-2011</v>
      </c>
      <c r="D727">
        <v>1</v>
      </c>
      <c r="E727">
        <v>0</v>
      </c>
      <c r="F727">
        <v>2</v>
      </c>
      <c r="G727" t="str">
        <f t="shared" si="44"/>
        <v>Feb</v>
      </c>
      <c r="H727">
        <v>23</v>
      </c>
      <c r="I727">
        <f t="shared" si="46"/>
        <v>1</v>
      </c>
      <c r="J727" t="s">
        <v>126</v>
      </c>
      <c r="K727">
        <v>3</v>
      </c>
      <c r="L727" t="str">
        <f t="shared" si="47"/>
        <v>Weekday</v>
      </c>
      <c r="M727">
        <v>1</v>
      </c>
      <c r="N727" t="str" cm="1">
        <f t="array" ref="N727">_xlfn.IFS(M727=1,"Sunny Day",M727=2,"Cloudy Day",M727=3,"Rainy Day",M727=4,"Heavy Rain")</f>
        <v>Sunny Day</v>
      </c>
      <c r="O727">
        <v>0.2</v>
      </c>
      <c r="P727">
        <v>0.16669999999999999</v>
      </c>
      <c r="Q727">
        <v>0.44</v>
      </c>
      <c r="R727">
        <v>0.44779999999999998</v>
      </c>
      <c r="S727">
        <v>3</v>
      </c>
      <c r="T727">
        <v>29</v>
      </c>
      <c r="U727">
        <v>32</v>
      </c>
    </row>
    <row r="728" spans="1:21" x14ac:dyDescent="0.3">
      <c r="A728">
        <v>736</v>
      </c>
      <c r="B728" t="s">
        <v>73</v>
      </c>
      <c r="C728" t="str">
        <f t="shared" si="45"/>
        <v>03-Feb-2011</v>
      </c>
      <c r="D728">
        <v>1</v>
      </c>
      <c r="E728">
        <v>0</v>
      </c>
      <c r="F728">
        <v>2</v>
      </c>
      <c r="G728" t="str">
        <f t="shared" si="44"/>
        <v>Feb</v>
      </c>
      <c r="H728">
        <v>0</v>
      </c>
      <c r="I728">
        <f t="shared" si="46"/>
        <v>0</v>
      </c>
      <c r="J728" t="s">
        <v>126</v>
      </c>
      <c r="K728">
        <v>4</v>
      </c>
      <c r="L728" t="str">
        <f t="shared" si="47"/>
        <v>Weekday</v>
      </c>
      <c r="M728">
        <v>1</v>
      </c>
      <c r="N728" t="str" cm="1">
        <f t="array" ref="N728">_xlfn.IFS(M728=1,"Sunny Day",M728=2,"Cloudy Day",M728=3,"Rainy Day",M728=4,"Heavy Rain")</f>
        <v>Sunny Day</v>
      </c>
      <c r="O728">
        <v>0.2</v>
      </c>
      <c r="P728">
        <v>0.16669999999999999</v>
      </c>
      <c r="Q728">
        <v>0.4</v>
      </c>
      <c r="R728">
        <v>0.44779999999999998</v>
      </c>
      <c r="S728">
        <v>1</v>
      </c>
      <c r="T728">
        <v>11</v>
      </c>
      <c r="U728">
        <v>12</v>
      </c>
    </row>
    <row r="729" spans="1:21" x14ac:dyDescent="0.3">
      <c r="A729">
        <v>737</v>
      </c>
      <c r="B729" t="s">
        <v>73</v>
      </c>
      <c r="C729" t="str">
        <f t="shared" si="45"/>
        <v>03-Feb-2011</v>
      </c>
      <c r="D729">
        <v>1</v>
      </c>
      <c r="E729">
        <v>0</v>
      </c>
      <c r="F729">
        <v>2</v>
      </c>
      <c r="G729" t="str">
        <f t="shared" si="44"/>
        <v>Feb</v>
      </c>
      <c r="H729">
        <v>1</v>
      </c>
      <c r="I729">
        <f t="shared" si="46"/>
        <v>0</v>
      </c>
      <c r="J729" t="s">
        <v>126</v>
      </c>
      <c r="K729">
        <v>4</v>
      </c>
      <c r="L729" t="str">
        <f t="shared" si="47"/>
        <v>Weekday</v>
      </c>
      <c r="M729">
        <v>1</v>
      </c>
      <c r="N729" t="str" cm="1">
        <f t="array" ref="N729">_xlfn.IFS(M729=1,"Sunny Day",M729=2,"Cloudy Day",M729=3,"Rainy Day",M729=4,"Heavy Rain")</f>
        <v>Sunny Day</v>
      </c>
      <c r="O729">
        <v>0.2</v>
      </c>
      <c r="P729">
        <v>0.1515</v>
      </c>
      <c r="Q729">
        <v>0.44</v>
      </c>
      <c r="R729">
        <v>0.52239999999999998</v>
      </c>
      <c r="S729">
        <v>0</v>
      </c>
      <c r="T729">
        <v>5</v>
      </c>
      <c r="U729">
        <v>5</v>
      </c>
    </row>
    <row r="730" spans="1:21" x14ac:dyDescent="0.3">
      <c r="A730">
        <v>738</v>
      </c>
      <c r="B730" t="s">
        <v>73</v>
      </c>
      <c r="C730" t="str">
        <f t="shared" si="45"/>
        <v>03-Feb-2011</v>
      </c>
      <c r="D730">
        <v>1</v>
      </c>
      <c r="E730">
        <v>0</v>
      </c>
      <c r="F730">
        <v>2</v>
      </c>
      <c r="G730" t="str">
        <f t="shared" si="44"/>
        <v>Feb</v>
      </c>
      <c r="H730">
        <v>2</v>
      </c>
      <c r="I730">
        <f t="shared" si="46"/>
        <v>0</v>
      </c>
      <c r="J730" t="s">
        <v>126</v>
      </c>
      <c r="K730">
        <v>4</v>
      </c>
      <c r="L730" t="str">
        <f t="shared" si="47"/>
        <v>Weekday</v>
      </c>
      <c r="M730">
        <v>1</v>
      </c>
      <c r="N730" t="str" cm="1">
        <f t="array" ref="N730">_xlfn.IFS(M730=1,"Sunny Day",M730=2,"Cloudy Day",M730=3,"Rainy Day",M730=4,"Heavy Rain")</f>
        <v>Sunny Day</v>
      </c>
      <c r="O730">
        <v>0.18</v>
      </c>
      <c r="P730">
        <v>0.16669999999999999</v>
      </c>
      <c r="Q730">
        <v>0.43</v>
      </c>
      <c r="R730">
        <v>0.25369999999999998</v>
      </c>
      <c r="S730">
        <v>0</v>
      </c>
      <c r="T730">
        <v>2</v>
      </c>
      <c r="U730">
        <v>2</v>
      </c>
    </row>
    <row r="731" spans="1:21" x14ac:dyDescent="0.3">
      <c r="A731">
        <v>739</v>
      </c>
      <c r="B731" t="s">
        <v>73</v>
      </c>
      <c r="C731" t="str">
        <f t="shared" si="45"/>
        <v>03-Feb-2011</v>
      </c>
      <c r="D731">
        <v>1</v>
      </c>
      <c r="E731">
        <v>0</v>
      </c>
      <c r="F731">
        <v>2</v>
      </c>
      <c r="G731" t="str">
        <f t="shared" si="44"/>
        <v>Feb</v>
      </c>
      <c r="H731">
        <v>3</v>
      </c>
      <c r="I731">
        <f t="shared" si="46"/>
        <v>0</v>
      </c>
      <c r="J731" t="s">
        <v>126</v>
      </c>
      <c r="K731">
        <v>4</v>
      </c>
      <c r="L731" t="str">
        <f t="shared" si="47"/>
        <v>Weekday</v>
      </c>
      <c r="M731">
        <v>1</v>
      </c>
      <c r="N731" t="str" cm="1">
        <f t="array" ref="N731">_xlfn.IFS(M731=1,"Sunny Day",M731=2,"Cloudy Day",M731=3,"Rainy Day",M731=4,"Heavy Rain")</f>
        <v>Sunny Day</v>
      </c>
      <c r="O731">
        <v>0.18</v>
      </c>
      <c r="P731">
        <v>0.16669999999999999</v>
      </c>
      <c r="Q731">
        <v>0.43</v>
      </c>
      <c r="R731">
        <v>0.25369999999999998</v>
      </c>
      <c r="S731">
        <v>0</v>
      </c>
      <c r="T731">
        <v>1</v>
      </c>
      <c r="U731">
        <v>1</v>
      </c>
    </row>
    <row r="732" spans="1:21" x14ac:dyDescent="0.3">
      <c r="A732">
        <v>740</v>
      </c>
      <c r="B732" t="s">
        <v>73</v>
      </c>
      <c r="C732" t="str">
        <f t="shared" si="45"/>
        <v>03-Feb-2011</v>
      </c>
      <c r="D732">
        <v>1</v>
      </c>
      <c r="E732">
        <v>0</v>
      </c>
      <c r="F732">
        <v>2</v>
      </c>
      <c r="G732" t="str">
        <f t="shared" si="44"/>
        <v>Feb</v>
      </c>
      <c r="H732">
        <v>5</v>
      </c>
      <c r="I732">
        <f t="shared" si="46"/>
        <v>0</v>
      </c>
      <c r="J732" t="s">
        <v>126</v>
      </c>
      <c r="K732">
        <v>4</v>
      </c>
      <c r="L732" t="str">
        <f t="shared" si="47"/>
        <v>Weekday</v>
      </c>
      <c r="M732">
        <v>1</v>
      </c>
      <c r="N732" t="str" cm="1">
        <f t="array" ref="N732">_xlfn.IFS(M732=1,"Sunny Day",M732=2,"Cloudy Day",M732=3,"Rainy Day",M732=4,"Heavy Rain")</f>
        <v>Sunny Day</v>
      </c>
      <c r="O732">
        <v>0.16</v>
      </c>
      <c r="P732">
        <v>0.13639999999999999</v>
      </c>
      <c r="Q732">
        <v>0.5</v>
      </c>
      <c r="R732">
        <v>0.29849999999999999</v>
      </c>
      <c r="S732">
        <v>0</v>
      </c>
      <c r="T732">
        <v>2</v>
      </c>
      <c r="U732">
        <v>2</v>
      </c>
    </row>
    <row r="733" spans="1:21" x14ac:dyDescent="0.3">
      <c r="A733">
        <v>741</v>
      </c>
      <c r="B733" t="s">
        <v>73</v>
      </c>
      <c r="C733" t="str">
        <f t="shared" si="45"/>
        <v>03-Feb-2011</v>
      </c>
      <c r="D733">
        <v>1</v>
      </c>
      <c r="E733">
        <v>0</v>
      </c>
      <c r="F733">
        <v>2</v>
      </c>
      <c r="G733" t="str">
        <f t="shared" si="44"/>
        <v>Feb</v>
      </c>
      <c r="H733">
        <v>6</v>
      </c>
      <c r="I733">
        <f t="shared" si="46"/>
        <v>0</v>
      </c>
      <c r="J733" t="s">
        <v>126</v>
      </c>
      <c r="K733">
        <v>4</v>
      </c>
      <c r="L733" t="str">
        <f t="shared" si="47"/>
        <v>Weekday</v>
      </c>
      <c r="M733">
        <v>1</v>
      </c>
      <c r="N733" t="str" cm="1">
        <f t="array" ref="N733">_xlfn.IFS(M733=1,"Sunny Day",M733=2,"Cloudy Day",M733=3,"Rainy Day",M733=4,"Heavy Rain")</f>
        <v>Sunny Day</v>
      </c>
      <c r="O733">
        <v>0.16</v>
      </c>
      <c r="P733">
        <v>0.13639999999999999</v>
      </c>
      <c r="Q733">
        <v>0.43</v>
      </c>
      <c r="R733">
        <v>0.35820000000000002</v>
      </c>
      <c r="S733">
        <v>0</v>
      </c>
      <c r="T733">
        <v>39</v>
      </c>
      <c r="U733">
        <v>39</v>
      </c>
    </row>
    <row r="734" spans="1:21" x14ac:dyDescent="0.3">
      <c r="A734">
        <v>742</v>
      </c>
      <c r="B734" t="s">
        <v>73</v>
      </c>
      <c r="C734" t="str">
        <f t="shared" si="45"/>
        <v>03-Feb-2011</v>
      </c>
      <c r="D734">
        <v>1</v>
      </c>
      <c r="E734">
        <v>0</v>
      </c>
      <c r="F734">
        <v>2</v>
      </c>
      <c r="G734" t="str">
        <f t="shared" si="44"/>
        <v>Feb</v>
      </c>
      <c r="H734">
        <v>7</v>
      </c>
      <c r="I734">
        <f t="shared" si="46"/>
        <v>0</v>
      </c>
      <c r="J734" t="s">
        <v>126</v>
      </c>
      <c r="K734">
        <v>4</v>
      </c>
      <c r="L734" t="str">
        <f t="shared" si="47"/>
        <v>Weekday</v>
      </c>
      <c r="M734">
        <v>1</v>
      </c>
      <c r="N734" t="str" cm="1">
        <f t="array" ref="N734">_xlfn.IFS(M734=1,"Sunny Day",M734=2,"Cloudy Day",M734=3,"Rainy Day",M734=4,"Heavy Rain")</f>
        <v>Sunny Day</v>
      </c>
      <c r="O734">
        <v>0.14000000000000001</v>
      </c>
      <c r="P734">
        <v>0.1212</v>
      </c>
      <c r="Q734">
        <v>0.5</v>
      </c>
      <c r="R734">
        <v>0.32840000000000003</v>
      </c>
      <c r="S734">
        <v>1</v>
      </c>
      <c r="T734">
        <v>86</v>
      </c>
      <c r="U734">
        <v>87</v>
      </c>
    </row>
    <row r="735" spans="1:21" x14ac:dyDescent="0.3">
      <c r="A735">
        <v>743</v>
      </c>
      <c r="B735" t="s">
        <v>73</v>
      </c>
      <c r="C735" t="str">
        <f t="shared" si="45"/>
        <v>03-Feb-2011</v>
      </c>
      <c r="D735">
        <v>1</v>
      </c>
      <c r="E735">
        <v>0</v>
      </c>
      <c r="F735">
        <v>2</v>
      </c>
      <c r="G735" t="str">
        <f t="shared" si="44"/>
        <v>Feb</v>
      </c>
      <c r="H735">
        <v>8</v>
      </c>
      <c r="I735">
        <f t="shared" si="46"/>
        <v>0</v>
      </c>
      <c r="J735" t="s">
        <v>126</v>
      </c>
      <c r="K735">
        <v>4</v>
      </c>
      <c r="L735" t="str">
        <f t="shared" si="47"/>
        <v>Weekday</v>
      </c>
      <c r="M735">
        <v>1</v>
      </c>
      <c r="N735" t="str" cm="1">
        <f t="array" ref="N735">_xlfn.IFS(M735=1,"Sunny Day",M735=2,"Cloudy Day",M735=3,"Rainy Day",M735=4,"Heavy Rain")</f>
        <v>Sunny Day</v>
      </c>
      <c r="O735">
        <v>0.14000000000000001</v>
      </c>
      <c r="P735">
        <v>0.1212</v>
      </c>
      <c r="Q735">
        <v>0.5</v>
      </c>
      <c r="R735">
        <v>0.35820000000000002</v>
      </c>
      <c r="S735">
        <v>4</v>
      </c>
      <c r="T735">
        <v>184</v>
      </c>
      <c r="U735">
        <v>188</v>
      </c>
    </row>
    <row r="736" spans="1:21" x14ac:dyDescent="0.3">
      <c r="A736">
        <v>744</v>
      </c>
      <c r="B736" t="s">
        <v>73</v>
      </c>
      <c r="C736" t="str">
        <f t="shared" si="45"/>
        <v>03-Feb-2011</v>
      </c>
      <c r="D736">
        <v>1</v>
      </c>
      <c r="E736">
        <v>0</v>
      </c>
      <c r="F736">
        <v>2</v>
      </c>
      <c r="G736" t="str">
        <f t="shared" si="44"/>
        <v>Feb</v>
      </c>
      <c r="H736">
        <v>9</v>
      </c>
      <c r="I736">
        <f t="shared" si="46"/>
        <v>0</v>
      </c>
      <c r="J736" t="s">
        <v>126</v>
      </c>
      <c r="K736">
        <v>4</v>
      </c>
      <c r="L736" t="str">
        <f t="shared" si="47"/>
        <v>Weekday</v>
      </c>
      <c r="M736">
        <v>1</v>
      </c>
      <c r="N736" t="str" cm="1">
        <f t="array" ref="N736">_xlfn.IFS(M736=1,"Sunny Day",M736=2,"Cloudy Day",M736=3,"Rainy Day",M736=4,"Heavy Rain")</f>
        <v>Sunny Day</v>
      </c>
      <c r="O736">
        <v>0.16</v>
      </c>
      <c r="P736">
        <v>0.13639999999999999</v>
      </c>
      <c r="Q736">
        <v>0.47</v>
      </c>
      <c r="R736">
        <v>0.29849999999999999</v>
      </c>
      <c r="S736">
        <v>6</v>
      </c>
      <c r="T736">
        <v>127</v>
      </c>
      <c r="U736">
        <v>133</v>
      </c>
    </row>
    <row r="737" spans="1:21" x14ac:dyDescent="0.3">
      <c r="A737">
        <v>745</v>
      </c>
      <c r="B737" t="s">
        <v>73</v>
      </c>
      <c r="C737" t="str">
        <f t="shared" si="45"/>
        <v>03-Feb-2011</v>
      </c>
      <c r="D737">
        <v>1</v>
      </c>
      <c r="E737">
        <v>0</v>
      </c>
      <c r="F737">
        <v>2</v>
      </c>
      <c r="G737" t="str">
        <f t="shared" si="44"/>
        <v>Feb</v>
      </c>
      <c r="H737">
        <v>10</v>
      </c>
      <c r="I737">
        <f t="shared" si="46"/>
        <v>0</v>
      </c>
      <c r="J737" t="s">
        <v>126</v>
      </c>
      <c r="K737">
        <v>4</v>
      </c>
      <c r="L737" t="str">
        <f t="shared" si="47"/>
        <v>Weekday</v>
      </c>
      <c r="M737">
        <v>1</v>
      </c>
      <c r="N737" t="str" cm="1">
        <f t="array" ref="N737">_xlfn.IFS(M737=1,"Sunny Day",M737=2,"Cloudy Day",M737=3,"Rainy Day",M737=4,"Heavy Rain")</f>
        <v>Sunny Day</v>
      </c>
      <c r="O737">
        <v>0.18</v>
      </c>
      <c r="P737">
        <v>0.1515</v>
      </c>
      <c r="Q737">
        <v>0.43</v>
      </c>
      <c r="R737">
        <v>0.32840000000000003</v>
      </c>
      <c r="S737">
        <v>2</v>
      </c>
      <c r="T737">
        <v>50</v>
      </c>
      <c r="U737">
        <v>52</v>
      </c>
    </row>
    <row r="738" spans="1:21" x14ac:dyDescent="0.3">
      <c r="A738">
        <v>746</v>
      </c>
      <c r="B738" t="s">
        <v>73</v>
      </c>
      <c r="C738" t="str">
        <f t="shared" si="45"/>
        <v>03-Feb-2011</v>
      </c>
      <c r="D738">
        <v>1</v>
      </c>
      <c r="E738">
        <v>0</v>
      </c>
      <c r="F738">
        <v>2</v>
      </c>
      <c r="G738" t="str">
        <f t="shared" si="44"/>
        <v>Feb</v>
      </c>
      <c r="H738">
        <v>11</v>
      </c>
      <c r="I738">
        <f t="shared" si="46"/>
        <v>1</v>
      </c>
      <c r="J738" t="s">
        <v>126</v>
      </c>
      <c r="K738">
        <v>4</v>
      </c>
      <c r="L738" t="str">
        <f t="shared" si="47"/>
        <v>Weekday</v>
      </c>
      <c r="M738">
        <v>1</v>
      </c>
      <c r="N738" t="str" cm="1">
        <f t="array" ref="N738">_xlfn.IFS(M738=1,"Sunny Day",M738=2,"Cloudy Day",M738=3,"Rainy Day",M738=4,"Heavy Rain")</f>
        <v>Sunny Day</v>
      </c>
      <c r="O738">
        <v>0.18</v>
      </c>
      <c r="P738">
        <v>0.13639999999999999</v>
      </c>
      <c r="Q738">
        <v>0.43</v>
      </c>
      <c r="R738">
        <v>0.44779999999999998</v>
      </c>
      <c r="S738">
        <v>9</v>
      </c>
      <c r="T738">
        <v>55</v>
      </c>
      <c r="U738">
        <v>64</v>
      </c>
    </row>
    <row r="739" spans="1:21" x14ac:dyDescent="0.3">
      <c r="A739">
        <v>747</v>
      </c>
      <c r="B739" t="s">
        <v>73</v>
      </c>
      <c r="C739" t="str">
        <f t="shared" si="45"/>
        <v>03-Feb-2011</v>
      </c>
      <c r="D739">
        <v>1</v>
      </c>
      <c r="E739">
        <v>0</v>
      </c>
      <c r="F739">
        <v>2</v>
      </c>
      <c r="G739" t="str">
        <f t="shared" si="44"/>
        <v>Feb</v>
      </c>
      <c r="H739">
        <v>12</v>
      </c>
      <c r="I739">
        <f t="shared" si="46"/>
        <v>1</v>
      </c>
      <c r="J739" t="s">
        <v>126</v>
      </c>
      <c r="K739">
        <v>4</v>
      </c>
      <c r="L739" t="str">
        <f t="shared" si="47"/>
        <v>Weekday</v>
      </c>
      <c r="M739">
        <v>1</v>
      </c>
      <c r="N739" t="str" cm="1">
        <f t="array" ref="N739">_xlfn.IFS(M739=1,"Sunny Day",M739=2,"Cloudy Day",M739=3,"Rainy Day",M739=4,"Heavy Rain")</f>
        <v>Sunny Day</v>
      </c>
      <c r="O739">
        <v>0.2</v>
      </c>
      <c r="P739">
        <v>0.18179999999999999</v>
      </c>
      <c r="Q739">
        <v>0.4</v>
      </c>
      <c r="R739">
        <v>0.35820000000000002</v>
      </c>
      <c r="S739">
        <v>2</v>
      </c>
      <c r="T739">
        <v>67</v>
      </c>
      <c r="U739">
        <v>69</v>
      </c>
    </row>
    <row r="740" spans="1:21" x14ac:dyDescent="0.3">
      <c r="A740">
        <v>748</v>
      </c>
      <c r="B740" t="s">
        <v>73</v>
      </c>
      <c r="C740" t="str">
        <f t="shared" si="45"/>
        <v>03-Feb-2011</v>
      </c>
      <c r="D740">
        <v>1</v>
      </c>
      <c r="E740">
        <v>0</v>
      </c>
      <c r="F740">
        <v>2</v>
      </c>
      <c r="G740" t="str">
        <f t="shared" si="44"/>
        <v>Feb</v>
      </c>
      <c r="H740">
        <v>13</v>
      </c>
      <c r="I740">
        <f t="shared" si="46"/>
        <v>1</v>
      </c>
      <c r="J740" t="s">
        <v>126</v>
      </c>
      <c r="K740">
        <v>4</v>
      </c>
      <c r="L740" t="str">
        <f t="shared" si="47"/>
        <v>Weekday</v>
      </c>
      <c r="M740">
        <v>1</v>
      </c>
      <c r="N740" t="str" cm="1">
        <f t="array" ref="N740">_xlfn.IFS(M740=1,"Sunny Day",M740=2,"Cloudy Day",M740=3,"Rainy Day",M740=4,"Heavy Rain")</f>
        <v>Sunny Day</v>
      </c>
      <c r="O740">
        <v>0.2</v>
      </c>
      <c r="P740">
        <v>0.16669999999999999</v>
      </c>
      <c r="Q740">
        <v>0.4</v>
      </c>
      <c r="R740">
        <v>0.41789999999999999</v>
      </c>
      <c r="S740">
        <v>4</v>
      </c>
      <c r="T740">
        <v>47</v>
      </c>
      <c r="U740">
        <v>51</v>
      </c>
    </row>
    <row r="741" spans="1:21" x14ac:dyDescent="0.3">
      <c r="A741">
        <v>749</v>
      </c>
      <c r="B741" t="s">
        <v>73</v>
      </c>
      <c r="C741" t="str">
        <f t="shared" si="45"/>
        <v>03-Feb-2011</v>
      </c>
      <c r="D741">
        <v>1</v>
      </c>
      <c r="E741">
        <v>0</v>
      </c>
      <c r="F741">
        <v>2</v>
      </c>
      <c r="G741" t="str">
        <f t="shared" si="44"/>
        <v>Feb</v>
      </c>
      <c r="H741">
        <v>14</v>
      </c>
      <c r="I741">
        <f t="shared" si="46"/>
        <v>1</v>
      </c>
      <c r="J741" t="s">
        <v>126</v>
      </c>
      <c r="K741">
        <v>4</v>
      </c>
      <c r="L741" t="str">
        <f t="shared" si="47"/>
        <v>Weekday</v>
      </c>
      <c r="M741">
        <v>1</v>
      </c>
      <c r="N741" t="str" cm="1">
        <f t="array" ref="N741">_xlfn.IFS(M741=1,"Sunny Day",M741=2,"Cloudy Day",M741=3,"Rainy Day",M741=4,"Heavy Rain")</f>
        <v>Sunny Day</v>
      </c>
      <c r="O741">
        <v>0.22</v>
      </c>
      <c r="P741">
        <v>0.19700000000000001</v>
      </c>
      <c r="Q741">
        <v>0.37</v>
      </c>
      <c r="R741">
        <v>0.3881</v>
      </c>
      <c r="S741">
        <v>4</v>
      </c>
      <c r="T741">
        <v>43</v>
      </c>
      <c r="U741">
        <v>47</v>
      </c>
    </row>
    <row r="742" spans="1:21" x14ac:dyDescent="0.3">
      <c r="A742">
        <v>750</v>
      </c>
      <c r="B742" t="s">
        <v>73</v>
      </c>
      <c r="C742" t="str">
        <f t="shared" si="45"/>
        <v>03-Feb-2011</v>
      </c>
      <c r="D742">
        <v>1</v>
      </c>
      <c r="E742">
        <v>0</v>
      </c>
      <c r="F742">
        <v>2</v>
      </c>
      <c r="G742" t="str">
        <f t="shared" si="44"/>
        <v>Feb</v>
      </c>
      <c r="H742">
        <v>15</v>
      </c>
      <c r="I742">
        <f t="shared" si="46"/>
        <v>1</v>
      </c>
      <c r="J742" t="s">
        <v>126</v>
      </c>
      <c r="K742">
        <v>4</v>
      </c>
      <c r="L742" t="str">
        <f t="shared" si="47"/>
        <v>Weekday</v>
      </c>
      <c r="M742">
        <v>1</v>
      </c>
      <c r="N742" t="str" cm="1">
        <f t="array" ref="N742">_xlfn.IFS(M742=1,"Sunny Day",M742=2,"Cloudy Day",M742=3,"Rainy Day",M742=4,"Heavy Rain")</f>
        <v>Sunny Day</v>
      </c>
      <c r="O742">
        <v>0.22</v>
      </c>
      <c r="P742">
        <v>0.19700000000000001</v>
      </c>
      <c r="Q742">
        <v>0.37</v>
      </c>
      <c r="R742">
        <v>0.32840000000000003</v>
      </c>
      <c r="S742">
        <v>4</v>
      </c>
      <c r="T742">
        <v>56</v>
      </c>
      <c r="U742">
        <v>60</v>
      </c>
    </row>
    <row r="743" spans="1:21" x14ac:dyDescent="0.3">
      <c r="A743">
        <v>751</v>
      </c>
      <c r="B743" t="s">
        <v>73</v>
      </c>
      <c r="C743" t="str">
        <f t="shared" si="45"/>
        <v>03-Feb-2011</v>
      </c>
      <c r="D743">
        <v>1</v>
      </c>
      <c r="E743">
        <v>0</v>
      </c>
      <c r="F743">
        <v>2</v>
      </c>
      <c r="G743" t="str">
        <f t="shared" si="44"/>
        <v>Feb</v>
      </c>
      <c r="H743">
        <v>16</v>
      </c>
      <c r="I743">
        <f t="shared" si="46"/>
        <v>1</v>
      </c>
      <c r="J743" t="s">
        <v>126</v>
      </c>
      <c r="K743">
        <v>4</v>
      </c>
      <c r="L743" t="str">
        <f t="shared" si="47"/>
        <v>Weekday</v>
      </c>
      <c r="M743">
        <v>1</v>
      </c>
      <c r="N743" t="str" cm="1">
        <f t="array" ref="N743">_xlfn.IFS(M743=1,"Sunny Day",M743=2,"Cloudy Day",M743=3,"Rainy Day",M743=4,"Heavy Rain")</f>
        <v>Sunny Day</v>
      </c>
      <c r="O743">
        <v>0.22</v>
      </c>
      <c r="P743">
        <v>0.21210000000000001</v>
      </c>
      <c r="Q743">
        <v>0.37</v>
      </c>
      <c r="R743">
        <v>0.25369999999999998</v>
      </c>
      <c r="S743">
        <v>5</v>
      </c>
      <c r="T743">
        <v>73</v>
      </c>
      <c r="U743">
        <v>78</v>
      </c>
    </row>
    <row r="744" spans="1:21" x14ac:dyDescent="0.3">
      <c r="A744">
        <v>752</v>
      </c>
      <c r="B744" t="s">
        <v>73</v>
      </c>
      <c r="C744" t="str">
        <f t="shared" si="45"/>
        <v>03-Feb-2011</v>
      </c>
      <c r="D744">
        <v>1</v>
      </c>
      <c r="E744">
        <v>0</v>
      </c>
      <c r="F744">
        <v>2</v>
      </c>
      <c r="G744" t="str">
        <f t="shared" si="44"/>
        <v>Feb</v>
      </c>
      <c r="H744">
        <v>17</v>
      </c>
      <c r="I744">
        <f t="shared" si="46"/>
        <v>1</v>
      </c>
      <c r="J744" t="s">
        <v>126</v>
      </c>
      <c r="K744">
        <v>4</v>
      </c>
      <c r="L744" t="str">
        <f t="shared" si="47"/>
        <v>Weekday</v>
      </c>
      <c r="M744">
        <v>1</v>
      </c>
      <c r="N744" t="str" cm="1">
        <f t="array" ref="N744">_xlfn.IFS(M744=1,"Sunny Day",M744=2,"Cloudy Day",M744=3,"Rainy Day",M744=4,"Heavy Rain")</f>
        <v>Sunny Day</v>
      </c>
      <c r="O744">
        <v>0.2</v>
      </c>
      <c r="P744">
        <v>0.19700000000000001</v>
      </c>
      <c r="Q744">
        <v>0.4</v>
      </c>
      <c r="R744">
        <v>0.19400000000000001</v>
      </c>
      <c r="S744">
        <v>5</v>
      </c>
      <c r="T744">
        <v>170</v>
      </c>
      <c r="U744">
        <v>175</v>
      </c>
    </row>
    <row r="745" spans="1:21" x14ac:dyDescent="0.3">
      <c r="A745">
        <v>753</v>
      </c>
      <c r="B745" t="s">
        <v>73</v>
      </c>
      <c r="C745" t="str">
        <f t="shared" si="45"/>
        <v>03-Feb-2011</v>
      </c>
      <c r="D745">
        <v>1</v>
      </c>
      <c r="E745">
        <v>0</v>
      </c>
      <c r="F745">
        <v>2</v>
      </c>
      <c r="G745" t="str">
        <f t="shared" si="44"/>
        <v>Feb</v>
      </c>
      <c r="H745">
        <v>18</v>
      </c>
      <c r="I745">
        <f t="shared" si="46"/>
        <v>1</v>
      </c>
      <c r="J745" t="s">
        <v>126</v>
      </c>
      <c r="K745">
        <v>4</v>
      </c>
      <c r="L745" t="str">
        <f t="shared" si="47"/>
        <v>Weekday</v>
      </c>
      <c r="M745">
        <v>1</v>
      </c>
      <c r="N745" t="str" cm="1">
        <f t="array" ref="N745">_xlfn.IFS(M745=1,"Sunny Day",M745=2,"Cloudy Day",M745=3,"Rainy Day",M745=4,"Heavy Rain")</f>
        <v>Sunny Day</v>
      </c>
      <c r="O745">
        <v>0.2</v>
      </c>
      <c r="P745">
        <v>0.21210000000000001</v>
      </c>
      <c r="Q745">
        <v>0.4</v>
      </c>
      <c r="R745">
        <v>0.16420000000000001</v>
      </c>
      <c r="S745">
        <v>2</v>
      </c>
      <c r="T745">
        <v>145</v>
      </c>
      <c r="U745">
        <v>147</v>
      </c>
    </row>
    <row r="746" spans="1:21" x14ac:dyDescent="0.3">
      <c r="A746">
        <v>754</v>
      </c>
      <c r="B746" t="s">
        <v>73</v>
      </c>
      <c r="C746" t="str">
        <f t="shared" si="45"/>
        <v>03-Feb-2011</v>
      </c>
      <c r="D746">
        <v>1</v>
      </c>
      <c r="E746">
        <v>0</v>
      </c>
      <c r="F746">
        <v>2</v>
      </c>
      <c r="G746" t="str">
        <f t="shared" si="44"/>
        <v>Feb</v>
      </c>
      <c r="H746">
        <v>19</v>
      </c>
      <c r="I746">
        <f t="shared" si="46"/>
        <v>1</v>
      </c>
      <c r="J746" t="s">
        <v>126</v>
      </c>
      <c r="K746">
        <v>4</v>
      </c>
      <c r="L746" t="str">
        <f t="shared" si="47"/>
        <v>Weekday</v>
      </c>
      <c r="M746">
        <v>1</v>
      </c>
      <c r="N746" t="str" cm="1">
        <f t="array" ref="N746">_xlfn.IFS(M746=1,"Sunny Day",M746=2,"Cloudy Day",M746=3,"Rainy Day",M746=4,"Heavy Rain")</f>
        <v>Sunny Day</v>
      </c>
      <c r="O746">
        <v>0.2</v>
      </c>
      <c r="P746">
        <v>0.2576</v>
      </c>
      <c r="Q746">
        <v>0.4</v>
      </c>
      <c r="R746">
        <v>0</v>
      </c>
      <c r="S746">
        <v>4</v>
      </c>
      <c r="T746">
        <v>92</v>
      </c>
      <c r="U746">
        <v>96</v>
      </c>
    </row>
    <row r="747" spans="1:21" x14ac:dyDescent="0.3">
      <c r="A747">
        <v>755</v>
      </c>
      <c r="B747" t="s">
        <v>73</v>
      </c>
      <c r="C747" t="str">
        <f t="shared" si="45"/>
        <v>03-Feb-2011</v>
      </c>
      <c r="D747">
        <v>1</v>
      </c>
      <c r="E747">
        <v>0</v>
      </c>
      <c r="F747">
        <v>2</v>
      </c>
      <c r="G747" t="str">
        <f t="shared" si="44"/>
        <v>Feb</v>
      </c>
      <c r="H747">
        <v>20</v>
      </c>
      <c r="I747">
        <f t="shared" si="46"/>
        <v>1</v>
      </c>
      <c r="J747" t="s">
        <v>126</v>
      </c>
      <c r="K747">
        <v>4</v>
      </c>
      <c r="L747" t="str">
        <f t="shared" si="47"/>
        <v>Weekday</v>
      </c>
      <c r="M747">
        <v>1</v>
      </c>
      <c r="N747" t="str" cm="1">
        <f t="array" ref="N747">_xlfn.IFS(M747=1,"Sunny Day",M747=2,"Cloudy Day",M747=3,"Rainy Day",M747=4,"Heavy Rain")</f>
        <v>Sunny Day</v>
      </c>
      <c r="O747">
        <v>0.2</v>
      </c>
      <c r="P747">
        <v>0.2273</v>
      </c>
      <c r="Q747">
        <v>0.47</v>
      </c>
      <c r="R747">
        <v>8.9599999999999999E-2</v>
      </c>
      <c r="S747">
        <v>1</v>
      </c>
      <c r="T747">
        <v>108</v>
      </c>
      <c r="U747">
        <v>109</v>
      </c>
    </row>
    <row r="748" spans="1:21" x14ac:dyDescent="0.3">
      <c r="A748">
        <v>756</v>
      </c>
      <c r="B748" t="s">
        <v>73</v>
      </c>
      <c r="C748" t="str">
        <f t="shared" si="45"/>
        <v>03-Feb-2011</v>
      </c>
      <c r="D748">
        <v>1</v>
      </c>
      <c r="E748">
        <v>0</v>
      </c>
      <c r="F748">
        <v>2</v>
      </c>
      <c r="G748" t="str">
        <f t="shared" si="44"/>
        <v>Feb</v>
      </c>
      <c r="H748">
        <v>21</v>
      </c>
      <c r="I748">
        <f t="shared" si="46"/>
        <v>1</v>
      </c>
      <c r="J748" t="s">
        <v>126</v>
      </c>
      <c r="K748">
        <v>4</v>
      </c>
      <c r="L748" t="str">
        <f t="shared" si="47"/>
        <v>Weekday</v>
      </c>
      <c r="M748">
        <v>1</v>
      </c>
      <c r="N748" t="str" cm="1">
        <f t="array" ref="N748">_xlfn.IFS(M748=1,"Sunny Day",M748=2,"Cloudy Day",M748=3,"Rainy Day",M748=4,"Heavy Rain")</f>
        <v>Sunny Day</v>
      </c>
      <c r="O748">
        <v>0.18</v>
      </c>
      <c r="P748">
        <v>0.21210000000000001</v>
      </c>
      <c r="Q748">
        <v>0.55000000000000004</v>
      </c>
      <c r="R748">
        <v>0.1045</v>
      </c>
      <c r="S748">
        <v>1</v>
      </c>
      <c r="T748">
        <v>53</v>
      </c>
      <c r="U748">
        <v>54</v>
      </c>
    </row>
    <row r="749" spans="1:21" x14ac:dyDescent="0.3">
      <c r="A749">
        <v>757</v>
      </c>
      <c r="B749" t="s">
        <v>73</v>
      </c>
      <c r="C749" t="str">
        <f t="shared" si="45"/>
        <v>03-Feb-2011</v>
      </c>
      <c r="D749">
        <v>1</v>
      </c>
      <c r="E749">
        <v>0</v>
      </c>
      <c r="F749">
        <v>2</v>
      </c>
      <c r="G749" t="str">
        <f t="shared" si="44"/>
        <v>Feb</v>
      </c>
      <c r="H749">
        <v>22</v>
      </c>
      <c r="I749">
        <f t="shared" si="46"/>
        <v>1</v>
      </c>
      <c r="J749" t="s">
        <v>126</v>
      </c>
      <c r="K749">
        <v>4</v>
      </c>
      <c r="L749" t="str">
        <f t="shared" si="47"/>
        <v>Weekday</v>
      </c>
      <c r="M749">
        <v>1</v>
      </c>
      <c r="N749" t="str" cm="1">
        <f t="array" ref="N749">_xlfn.IFS(M749=1,"Sunny Day",M749=2,"Cloudy Day",M749=3,"Rainy Day",M749=4,"Heavy Rain")</f>
        <v>Sunny Day</v>
      </c>
      <c r="O749">
        <v>0.18</v>
      </c>
      <c r="P749">
        <v>0.21210000000000001</v>
      </c>
      <c r="Q749">
        <v>0.51</v>
      </c>
      <c r="R749">
        <v>8.9599999999999999E-2</v>
      </c>
      <c r="S749">
        <v>2</v>
      </c>
      <c r="T749">
        <v>39</v>
      </c>
      <c r="U749">
        <v>41</v>
      </c>
    </row>
    <row r="750" spans="1:21" x14ac:dyDescent="0.3">
      <c r="A750">
        <v>758</v>
      </c>
      <c r="B750" t="s">
        <v>73</v>
      </c>
      <c r="C750" t="str">
        <f t="shared" si="45"/>
        <v>03-Feb-2011</v>
      </c>
      <c r="D750">
        <v>1</v>
      </c>
      <c r="E750">
        <v>0</v>
      </c>
      <c r="F750">
        <v>2</v>
      </c>
      <c r="G750" t="str">
        <f t="shared" si="44"/>
        <v>Feb</v>
      </c>
      <c r="H750">
        <v>23</v>
      </c>
      <c r="I750">
        <f t="shared" si="46"/>
        <v>1</v>
      </c>
      <c r="J750" t="s">
        <v>126</v>
      </c>
      <c r="K750">
        <v>4</v>
      </c>
      <c r="L750" t="str">
        <f t="shared" si="47"/>
        <v>Weekday</v>
      </c>
      <c r="M750">
        <v>1</v>
      </c>
      <c r="N750" t="str" cm="1">
        <f t="array" ref="N750">_xlfn.IFS(M750=1,"Sunny Day",M750=2,"Cloudy Day",M750=3,"Rainy Day",M750=4,"Heavy Rain")</f>
        <v>Sunny Day</v>
      </c>
      <c r="O750">
        <v>0.2</v>
      </c>
      <c r="P750">
        <v>0.2273</v>
      </c>
      <c r="Q750">
        <v>0.47</v>
      </c>
      <c r="R750">
        <v>0.1045</v>
      </c>
      <c r="S750">
        <v>4</v>
      </c>
      <c r="T750">
        <v>34</v>
      </c>
      <c r="U750">
        <v>38</v>
      </c>
    </row>
    <row r="751" spans="1:21" x14ac:dyDescent="0.3">
      <c r="A751">
        <v>759</v>
      </c>
      <c r="B751" t="s">
        <v>75</v>
      </c>
      <c r="C751" t="str">
        <f t="shared" si="45"/>
        <v>04-Feb-2011</v>
      </c>
      <c r="D751">
        <v>1</v>
      </c>
      <c r="E751">
        <v>0</v>
      </c>
      <c r="F751">
        <v>2</v>
      </c>
      <c r="G751" t="str">
        <f t="shared" si="44"/>
        <v>Feb</v>
      </c>
      <c r="H751">
        <v>0</v>
      </c>
      <c r="I751">
        <f t="shared" si="46"/>
        <v>0</v>
      </c>
      <c r="J751" t="s">
        <v>126</v>
      </c>
      <c r="K751">
        <v>5</v>
      </c>
      <c r="L751" t="str">
        <f t="shared" si="47"/>
        <v>Weekday</v>
      </c>
      <c r="M751">
        <v>2</v>
      </c>
      <c r="N751" t="str" cm="1">
        <f t="array" ref="N751">_xlfn.IFS(M751=1,"Sunny Day",M751=2,"Cloudy Day",M751=3,"Rainy Day",M751=4,"Heavy Rain")</f>
        <v>Cloudy Day</v>
      </c>
      <c r="O751">
        <v>0.2</v>
      </c>
      <c r="P751">
        <v>0.2576</v>
      </c>
      <c r="Q751">
        <v>0.44</v>
      </c>
      <c r="R751">
        <v>0</v>
      </c>
      <c r="S751">
        <v>3</v>
      </c>
      <c r="T751">
        <v>10</v>
      </c>
      <c r="U751">
        <v>13</v>
      </c>
    </row>
    <row r="752" spans="1:21" x14ac:dyDescent="0.3">
      <c r="A752">
        <v>760</v>
      </c>
      <c r="B752" t="s">
        <v>75</v>
      </c>
      <c r="C752" t="str">
        <f t="shared" si="45"/>
        <v>04-Feb-2011</v>
      </c>
      <c r="D752">
        <v>1</v>
      </c>
      <c r="E752">
        <v>0</v>
      </c>
      <c r="F752">
        <v>2</v>
      </c>
      <c r="G752" t="str">
        <f t="shared" si="44"/>
        <v>Feb</v>
      </c>
      <c r="H752">
        <v>1</v>
      </c>
      <c r="I752">
        <f t="shared" si="46"/>
        <v>0</v>
      </c>
      <c r="J752" t="s">
        <v>126</v>
      </c>
      <c r="K752">
        <v>5</v>
      </c>
      <c r="L752" t="str">
        <f t="shared" si="47"/>
        <v>Weekday</v>
      </c>
      <c r="M752">
        <v>2</v>
      </c>
      <c r="N752" t="str" cm="1">
        <f t="array" ref="N752">_xlfn.IFS(M752=1,"Sunny Day",M752=2,"Cloudy Day",M752=3,"Rainy Day",M752=4,"Heavy Rain")</f>
        <v>Cloudy Day</v>
      </c>
      <c r="O752">
        <v>0.16</v>
      </c>
      <c r="P752">
        <v>0.2273</v>
      </c>
      <c r="Q752">
        <v>0.59</v>
      </c>
      <c r="R752">
        <v>0</v>
      </c>
      <c r="S752">
        <v>0</v>
      </c>
      <c r="T752">
        <v>7</v>
      </c>
      <c r="U752">
        <v>7</v>
      </c>
    </row>
    <row r="753" spans="1:21" x14ac:dyDescent="0.3">
      <c r="A753">
        <v>761</v>
      </c>
      <c r="B753" t="s">
        <v>75</v>
      </c>
      <c r="C753" t="str">
        <f t="shared" si="45"/>
        <v>04-Feb-2011</v>
      </c>
      <c r="D753">
        <v>1</v>
      </c>
      <c r="E753">
        <v>0</v>
      </c>
      <c r="F753">
        <v>2</v>
      </c>
      <c r="G753" t="str">
        <f t="shared" si="44"/>
        <v>Feb</v>
      </c>
      <c r="H753">
        <v>2</v>
      </c>
      <c r="I753">
        <f t="shared" si="46"/>
        <v>0</v>
      </c>
      <c r="J753" t="s">
        <v>126</v>
      </c>
      <c r="K753">
        <v>5</v>
      </c>
      <c r="L753" t="str">
        <f t="shared" si="47"/>
        <v>Weekday</v>
      </c>
      <c r="M753">
        <v>2</v>
      </c>
      <c r="N753" t="str" cm="1">
        <f t="array" ref="N753">_xlfn.IFS(M753=1,"Sunny Day",M753=2,"Cloudy Day",M753=3,"Rainy Day",M753=4,"Heavy Rain")</f>
        <v>Cloudy Day</v>
      </c>
      <c r="O753">
        <v>0.14000000000000001</v>
      </c>
      <c r="P753">
        <v>0.16669999999999999</v>
      </c>
      <c r="Q753">
        <v>0.63</v>
      </c>
      <c r="R753">
        <v>0.1045</v>
      </c>
      <c r="S753">
        <v>0</v>
      </c>
      <c r="T753">
        <v>1</v>
      </c>
      <c r="U753">
        <v>1</v>
      </c>
    </row>
    <row r="754" spans="1:21" x14ac:dyDescent="0.3">
      <c r="A754">
        <v>762</v>
      </c>
      <c r="B754" t="s">
        <v>75</v>
      </c>
      <c r="C754" t="str">
        <f t="shared" si="45"/>
        <v>04-Feb-2011</v>
      </c>
      <c r="D754">
        <v>1</v>
      </c>
      <c r="E754">
        <v>0</v>
      </c>
      <c r="F754">
        <v>2</v>
      </c>
      <c r="G754" t="str">
        <f t="shared" si="44"/>
        <v>Feb</v>
      </c>
      <c r="H754">
        <v>3</v>
      </c>
      <c r="I754">
        <f t="shared" si="46"/>
        <v>0</v>
      </c>
      <c r="J754" t="s">
        <v>126</v>
      </c>
      <c r="K754">
        <v>5</v>
      </c>
      <c r="L754" t="str">
        <f t="shared" si="47"/>
        <v>Weekday</v>
      </c>
      <c r="M754">
        <v>2</v>
      </c>
      <c r="N754" t="str" cm="1">
        <f t="array" ref="N754">_xlfn.IFS(M754=1,"Sunny Day",M754=2,"Cloudy Day",M754=3,"Rainy Day",M754=4,"Heavy Rain")</f>
        <v>Cloudy Day</v>
      </c>
      <c r="O754">
        <v>0.14000000000000001</v>
      </c>
      <c r="P754">
        <v>0.16669999999999999</v>
      </c>
      <c r="Q754">
        <v>0.63</v>
      </c>
      <c r="R754">
        <v>0.1045</v>
      </c>
      <c r="S754">
        <v>0</v>
      </c>
      <c r="T754">
        <v>1</v>
      </c>
      <c r="U754">
        <v>1</v>
      </c>
    </row>
    <row r="755" spans="1:21" x14ac:dyDescent="0.3">
      <c r="A755">
        <v>763</v>
      </c>
      <c r="B755" t="s">
        <v>75</v>
      </c>
      <c r="C755" t="str">
        <f t="shared" si="45"/>
        <v>04-Feb-2011</v>
      </c>
      <c r="D755">
        <v>1</v>
      </c>
      <c r="E755">
        <v>0</v>
      </c>
      <c r="F755">
        <v>2</v>
      </c>
      <c r="G755" t="str">
        <f t="shared" si="44"/>
        <v>Feb</v>
      </c>
      <c r="H755">
        <v>5</v>
      </c>
      <c r="I755">
        <f t="shared" si="46"/>
        <v>0</v>
      </c>
      <c r="J755" t="s">
        <v>126</v>
      </c>
      <c r="K755">
        <v>5</v>
      </c>
      <c r="L755" t="str">
        <f t="shared" si="47"/>
        <v>Weekday</v>
      </c>
      <c r="M755">
        <v>2</v>
      </c>
      <c r="N755" t="str" cm="1">
        <f t="array" ref="N755">_xlfn.IFS(M755=1,"Sunny Day",M755=2,"Cloudy Day",M755=3,"Rainy Day",M755=4,"Heavy Rain")</f>
        <v>Cloudy Day</v>
      </c>
      <c r="O755">
        <v>0.14000000000000001</v>
      </c>
      <c r="P755">
        <v>0.1515</v>
      </c>
      <c r="Q755">
        <v>0.63</v>
      </c>
      <c r="R755">
        <v>0.1343</v>
      </c>
      <c r="S755">
        <v>0</v>
      </c>
      <c r="T755">
        <v>7</v>
      </c>
      <c r="U755">
        <v>7</v>
      </c>
    </row>
    <row r="756" spans="1:21" x14ac:dyDescent="0.3">
      <c r="A756">
        <v>764</v>
      </c>
      <c r="B756" t="s">
        <v>75</v>
      </c>
      <c r="C756" t="str">
        <f t="shared" si="45"/>
        <v>04-Feb-2011</v>
      </c>
      <c r="D756">
        <v>1</v>
      </c>
      <c r="E756">
        <v>0</v>
      </c>
      <c r="F756">
        <v>2</v>
      </c>
      <c r="G756" t="str">
        <f t="shared" si="44"/>
        <v>Feb</v>
      </c>
      <c r="H756">
        <v>6</v>
      </c>
      <c r="I756">
        <f t="shared" si="46"/>
        <v>0</v>
      </c>
      <c r="J756" t="s">
        <v>126</v>
      </c>
      <c r="K756">
        <v>5</v>
      </c>
      <c r="L756" t="str">
        <f t="shared" si="47"/>
        <v>Weekday</v>
      </c>
      <c r="M756">
        <v>2</v>
      </c>
      <c r="N756" t="str" cm="1">
        <f t="array" ref="N756">_xlfn.IFS(M756=1,"Sunny Day",M756=2,"Cloudy Day",M756=3,"Rainy Day",M756=4,"Heavy Rain")</f>
        <v>Cloudy Day</v>
      </c>
      <c r="O756">
        <v>0.16</v>
      </c>
      <c r="P756">
        <v>0.2273</v>
      </c>
      <c r="Q756">
        <v>0.55000000000000004</v>
      </c>
      <c r="R756">
        <v>0</v>
      </c>
      <c r="S756">
        <v>2</v>
      </c>
      <c r="T756">
        <v>26</v>
      </c>
      <c r="U756">
        <v>28</v>
      </c>
    </row>
    <row r="757" spans="1:21" x14ac:dyDescent="0.3">
      <c r="A757">
        <v>765</v>
      </c>
      <c r="B757" t="s">
        <v>75</v>
      </c>
      <c r="C757" t="str">
        <f t="shared" si="45"/>
        <v>04-Feb-2011</v>
      </c>
      <c r="D757">
        <v>1</v>
      </c>
      <c r="E757">
        <v>0</v>
      </c>
      <c r="F757">
        <v>2</v>
      </c>
      <c r="G757" t="str">
        <f t="shared" si="44"/>
        <v>Feb</v>
      </c>
      <c r="H757">
        <v>7</v>
      </c>
      <c r="I757">
        <f t="shared" si="46"/>
        <v>0</v>
      </c>
      <c r="J757" t="s">
        <v>126</v>
      </c>
      <c r="K757">
        <v>5</v>
      </c>
      <c r="L757" t="str">
        <f t="shared" si="47"/>
        <v>Weekday</v>
      </c>
      <c r="M757">
        <v>1</v>
      </c>
      <c r="N757" t="str" cm="1">
        <f t="array" ref="N757">_xlfn.IFS(M757=1,"Sunny Day",M757=2,"Cloudy Day",M757=3,"Rainy Day",M757=4,"Heavy Rain")</f>
        <v>Sunny Day</v>
      </c>
      <c r="O757">
        <v>0.14000000000000001</v>
      </c>
      <c r="P757">
        <v>0.21210000000000001</v>
      </c>
      <c r="Q757">
        <v>0.59</v>
      </c>
      <c r="R757">
        <v>0</v>
      </c>
      <c r="S757">
        <v>0</v>
      </c>
      <c r="T757">
        <v>87</v>
      </c>
      <c r="U757">
        <v>87</v>
      </c>
    </row>
    <row r="758" spans="1:21" x14ac:dyDescent="0.3">
      <c r="A758">
        <v>766</v>
      </c>
      <c r="B758" t="s">
        <v>75</v>
      </c>
      <c r="C758" t="str">
        <f t="shared" si="45"/>
        <v>04-Feb-2011</v>
      </c>
      <c r="D758">
        <v>1</v>
      </c>
      <c r="E758">
        <v>0</v>
      </c>
      <c r="F758">
        <v>2</v>
      </c>
      <c r="G758" t="str">
        <f t="shared" si="44"/>
        <v>Feb</v>
      </c>
      <c r="H758">
        <v>8</v>
      </c>
      <c r="I758">
        <f t="shared" si="46"/>
        <v>0</v>
      </c>
      <c r="J758" t="s">
        <v>126</v>
      </c>
      <c r="K758">
        <v>5</v>
      </c>
      <c r="L758" t="str">
        <f t="shared" si="47"/>
        <v>Weekday</v>
      </c>
      <c r="M758">
        <v>1</v>
      </c>
      <c r="N758" t="str" cm="1">
        <f t="array" ref="N758">_xlfn.IFS(M758=1,"Sunny Day",M758=2,"Cloudy Day",M758=3,"Rainy Day",M758=4,"Heavy Rain")</f>
        <v>Sunny Day</v>
      </c>
      <c r="O758">
        <v>0.14000000000000001</v>
      </c>
      <c r="P758">
        <v>0.1515</v>
      </c>
      <c r="Q758">
        <v>0.74</v>
      </c>
      <c r="R758">
        <v>0.1343</v>
      </c>
      <c r="S758">
        <v>3</v>
      </c>
      <c r="T758">
        <v>217</v>
      </c>
      <c r="U758">
        <v>220</v>
      </c>
    </row>
    <row r="759" spans="1:21" x14ac:dyDescent="0.3">
      <c r="A759">
        <v>767</v>
      </c>
      <c r="B759" t="s">
        <v>75</v>
      </c>
      <c r="C759" t="str">
        <f t="shared" si="45"/>
        <v>04-Feb-2011</v>
      </c>
      <c r="D759">
        <v>1</v>
      </c>
      <c r="E759">
        <v>0</v>
      </c>
      <c r="F759">
        <v>2</v>
      </c>
      <c r="G759" t="str">
        <f t="shared" si="44"/>
        <v>Feb</v>
      </c>
      <c r="H759">
        <v>9</v>
      </c>
      <c r="I759">
        <f t="shared" si="46"/>
        <v>0</v>
      </c>
      <c r="J759" t="s">
        <v>126</v>
      </c>
      <c r="K759">
        <v>5</v>
      </c>
      <c r="L759" t="str">
        <f t="shared" si="47"/>
        <v>Weekday</v>
      </c>
      <c r="M759">
        <v>2</v>
      </c>
      <c r="N759" t="str" cm="1">
        <f t="array" ref="N759">_xlfn.IFS(M759=1,"Sunny Day",M759=2,"Cloudy Day",M759=3,"Rainy Day",M759=4,"Heavy Rain")</f>
        <v>Cloudy Day</v>
      </c>
      <c r="O759">
        <v>0.16</v>
      </c>
      <c r="P759">
        <v>0.18179999999999999</v>
      </c>
      <c r="Q759">
        <v>0.8</v>
      </c>
      <c r="R759">
        <v>0.1343</v>
      </c>
      <c r="S759">
        <v>3</v>
      </c>
      <c r="T759">
        <v>124</v>
      </c>
      <c r="U759">
        <v>127</v>
      </c>
    </row>
    <row r="760" spans="1:21" x14ac:dyDescent="0.3">
      <c r="A760">
        <v>768</v>
      </c>
      <c r="B760" t="s">
        <v>75</v>
      </c>
      <c r="C760" t="str">
        <f t="shared" si="45"/>
        <v>04-Feb-2011</v>
      </c>
      <c r="D760">
        <v>1</v>
      </c>
      <c r="E760">
        <v>0</v>
      </c>
      <c r="F760">
        <v>2</v>
      </c>
      <c r="G760" t="str">
        <f t="shared" si="44"/>
        <v>Feb</v>
      </c>
      <c r="H760">
        <v>10</v>
      </c>
      <c r="I760">
        <f t="shared" si="46"/>
        <v>0</v>
      </c>
      <c r="J760" t="s">
        <v>126</v>
      </c>
      <c r="K760">
        <v>5</v>
      </c>
      <c r="L760" t="str">
        <f t="shared" si="47"/>
        <v>Weekday</v>
      </c>
      <c r="M760">
        <v>2</v>
      </c>
      <c r="N760" t="str" cm="1">
        <f t="array" ref="N760">_xlfn.IFS(M760=1,"Sunny Day",M760=2,"Cloudy Day",M760=3,"Rainy Day",M760=4,"Heavy Rain")</f>
        <v>Cloudy Day</v>
      </c>
      <c r="O760">
        <v>0.2</v>
      </c>
      <c r="P760">
        <v>0.21210000000000001</v>
      </c>
      <c r="Q760">
        <v>0.51</v>
      </c>
      <c r="R760">
        <v>0.1343</v>
      </c>
      <c r="S760">
        <v>5</v>
      </c>
      <c r="T760">
        <v>46</v>
      </c>
      <c r="U760">
        <v>51</v>
      </c>
    </row>
    <row r="761" spans="1:21" x14ac:dyDescent="0.3">
      <c r="A761">
        <v>769</v>
      </c>
      <c r="B761" t="s">
        <v>75</v>
      </c>
      <c r="C761" t="str">
        <f t="shared" si="45"/>
        <v>04-Feb-2011</v>
      </c>
      <c r="D761">
        <v>1</v>
      </c>
      <c r="E761">
        <v>0</v>
      </c>
      <c r="F761">
        <v>2</v>
      </c>
      <c r="G761" t="str">
        <f t="shared" si="44"/>
        <v>Feb</v>
      </c>
      <c r="H761">
        <v>11</v>
      </c>
      <c r="I761">
        <f t="shared" si="46"/>
        <v>1</v>
      </c>
      <c r="J761" t="s">
        <v>126</v>
      </c>
      <c r="K761">
        <v>5</v>
      </c>
      <c r="L761" t="str">
        <f t="shared" si="47"/>
        <v>Weekday</v>
      </c>
      <c r="M761">
        <v>1</v>
      </c>
      <c r="N761" t="str" cm="1">
        <f t="array" ref="N761">_xlfn.IFS(M761=1,"Sunny Day",M761=2,"Cloudy Day",M761=3,"Rainy Day",M761=4,"Heavy Rain")</f>
        <v>Sunny Day</v>
      </c>
      <c r="O761">
        <v>0.22</v>
      </c>
      <c r="P761">
        <v>0.2273</v>
      </c>
      <c r="Q761">
        <v>0.51</v>
      </c>
      <c r="R761">
        <v>0.16420000000000001</v>
      </c>
      <c r="S761">
        <v>3</v>
      </c>
      <c r="T761">
        <v>61</v>
      </c>
      <c r="U761">
        <v>64</v>
      </c>
    </row>
    <row r="762" spans="1:21" x14ac:dyDescent="0.3">
      <c r="A762">
        <v>770</v>
      </c>
      <c r="B762" t="s">
        <v>75</v>
      </c>
      <c r="C762" t="str">
        <f t="shared" si="45"/>
        <v>04-Feb-2011</v>
      </c>
      <c r="D762">
        <v>1</v>
      </c>
      <c r="E762">
        <v>0</v>
      </c>
      <c r="F762">
        <v>2</v>
      </c>
      <c r="G762" t="str">
        <f t="shared" si="44"/>
        <v>Feb</v>
      </c>
      <c r="H762">
        <v>12</v>
      </c>
      <c r="I762">
        <f t="shared" si="46"/>
        <v>1</v>
      </c>
      <c r="J762" t="s">
        <v>126</v>
      </c>
      <c r="K762">
        <v>5</v>
      </c>
      <c r="L762" t="str">
        <f t="shared" si="47"/>
        <v>Weekday</v>
      </c>
      <c r="M762">
        <v>2</v>
      </c>
      <c r="N762" t="str" cm="1">
        <f t="array" ref="N762">_xlfn.IFS(M762=1,"Sunny Day",M762=2,"Cloudy Day",M762=3,"Rainy Day",M762=4,"Heavy Rain")</f>
        <v>Cloudy Day</v>
      </c>
      <c r="O762">
        <v>0.24</v>
      </c>
      <c r="P762">
        <v>0.2424</v>
      </c>
      <c r="Q762">
        <v>0.48</v>
      </c>
      <c r="R762">
        <v>0.16420000000000001</v>
      </c>
      <c r="S762">
        <v>8</v>
      </c>
      <c r="T762">
        <v>78</v>
      </c>
      <c r="U762">
        <v>86</v>
      </c>
    </row>
    <row r="763" spans="1:21" x14ac:dyDescent="0.3">
      <c r="A763">
        <v>771</v>
      </c>
      <c r="B763" t="s">
        <v>75</v>
      </c>
      <c r="C763" t="str">
        <f t="shared" si="45"/>
        <v>04-Feb-2011</v>
      </c>
      <c r="D763">
        <v>1</v>
      </c>
      <c r="E763">
        <v>0</v>
      </c>
      <c r="F763">
        <v>2</v>
      </c>
      <c r="G763" t="str">
        <f t="shared" si="44"/>
        <v>Feb</v>
      </c>
      <c r="H763">
        <v>13</v>
      </c>
      <c r="I763">
        <f t="shared" si="46"/>
        <v>1</v>
      </c>
      <c r="J763" t="s">
        <v>126</v>
      </c>
      <c r="K763">
        <v>5</v>
      </c>
      <c r="L763" t="str">
        <f t="shared" si="47"/>
        <v>Weekday</v>
      </c>
      <c r="M763">
        <v>2</v>
      </c>
      <c r="N763" t="str" cm="1">
        <f t="array" ref="N763">_xlfn.IFS(M763=1,"Sunny Day",M763=2,"Cloudy Day",M763=3,"Rainy Day",M763=4,"Heavy Rain")</f>
        <v>Cloudy Day</v>
      </c>
      <c r="O763">
        <v>0.26</v>
      </c>
      <c r="P763">
        <v>0.2576</v>
      </c>
      <c r="Q763">
        <v>0.5</v>
      </c>
      <c r="R763">
        <v>0.22389999999999999</v>
      </c>
      <c r="S763">
        <v>9</v>
      </c>
      <c r="T763">
        <v>73</v>
      </c>
      <c r="U763">
        <v>82</v>
      </c>
    </row>
    <row r="764" spans="1:21" x14ac:dyDescent="0.3">
      <c r="A764">
        <v>772</v>
      </c>
      <c r="B764" t="s">
        <v>75</v>
      </c>
      <c r="C764" t="str">
        <f t="shared" si="45"/>
        <v>04-Feb-2011</v>
      </c>
      <c r="D764">
        <v>1</v>
      </c>
      <c r="E764">
        <v>0</v>
      </c>
      <c r="F764">
        <v>2</v>
      </c>
      <c r="G764" t="str">
        <f t="shared" si="44"/>
        <v>Feb</v>
      </c>
      <c r="H764">
        <v>14</v>
      </c>
      <c r="I764">
        <f t="shared" si="46"/>
        <v>1</v>
      </c>
      <c r="J764" t="s">
        <v>126</v>
      </c>
      <c r="K764">
        <v>5</v>
      </c>
      <c r="L764" t="str">
        <f t="shared" si="47"/>
        <v>Weekday</v>
      </c>
      <c r="M764">
        <v>2</v>
      </c>
      <c r="N764" t="str" cm="1">
        <f t="array" ref="N764">_xlfn.IFS(M764=1,"Sunny Day",M764=2,"Cloudy Day",M764=3,"Rainy Day",M764=4,"Heavy Rain")</f>
        <v>Cloudy Day</v>
      </c>
      <c r="O764">
        <v>0.28000000000000003</v>
      </c>
      <c r="P764">
        <v>0.2727</v>
      </c>
      <c r="Q764">
        <v>0.45</v>
      </c>
      <c r="R764">
        <v>0.16420000000000001</v>
      </c>
      <c r="S764">
        <v>15</v>
      </c>
      <c r="T764">
        <v>76</v>
      </c>
      <c r="U764">
        <v>91</v>
      </c>
    </row>
    <row r="765" spans="1:21" x14ac:dyDescent="0.3">
      <c r="A765">
        <v>773</v>
      </c>
      <c r="B765" t="s">
        <v>75</v>
      </c>
      <c r="C765" t="str">
        <f t="shared" si="45"/>
        <v>04-Feb-2011</v>
      </c>
      <c r="D765">
        <v>1</v>
      </c>
      <c r="E765">
        <v>0</v>
      </c>
      <c r="F765">
        <v>2</v>
      </c>
      <c r="G765" t="str">
        <f t="shared" si="44"/>
        <v>Feb</v>
      </c>
      <c r="H765">
        <v>15</v>
      </c>
      <c r="I765">
        <f t="shared" si="46"/>
        <v>1</v>
      </c>
      <c r="J765" t="s">
        <v>126</v>
      </c>
      <c r="K765">
        <v>5</v>
      </c>
      <c r="L765" t="str">
        <f t="shared" si="47"/>
        <v>Weekday</v>
      </c>
      <c r="M765">
        <v>2</v>
      </c>
      <c r="N765" t="str" cm="1">
        <f t="array" ref="N765">_xlfn.IFS(M765=1,"Sunny Day",M765=2,"Cloudy Day",M765=3,"Rainy Day",M765=4,"Heavy Rain")</f>
        <v>Cloudy Day</v>
      </c>
      <c r="O765">
        <v>0.28000000000000003</v>
      </c>
      <c r="P765">
        <v>0.2727</v>
      </c>
      <c r="Q765">
        <v>0.48</v>
      </c>
      <c r="R765">
        <v>0.25369999999999998</v>
      </c>
      <c r="S765">
        <v>9</v>
      </c>
      <c r="T765">
        <v>81</v>
      </c>
      <c r="U765">
        <v>90</v>
      </c>
    </row>
    <row r="766" spans="1:21" x14ac:dyDescent="0.3">
      <c r="A766">
        <v>774</v>
      </c>
      <c r="B766" t="s">
        <v>75</v>
      </c>
      <c r="C766" t="str">
        <f t="shared" si="45"/>
        <v>04-Feb-2011</v>
      </c>
      <c r="D766">
        <v>1</v>
      </c>
      <c r="E766">
        <v>0</v>
      </c>
      <c r="F766">
        <v>2</v>
      </c>
      <c r="G766" t="str">
        <f t="shared" si="44"/>
        <v>Feb</v>
      </c>
      <c r="H766">
        <v>16</v>
      </c>
      <c r="I766">
        <f t="shared" si="46"/>
        <v>1</v>
      </c>
      <c r="J766" t="s">
        <v>126</v>
      </c>
      <c r="K766">
        <v>5</v>
      </c>
      <c r="L766" t="str">
        <f t="shared" si="47"/>
        <v>Weekday</v>
      </c>
      <c r="M766">
        <v>2</v>
      </c>
      <c r="N766" t="str" cm="1">
        <f t="array" ref="N766">_xlfn.IFS(M766=1,"Sunny Day",M766=2,"Cloudy Day",M766=3,"Rainy Day",M766=4,"Heavy Rain")</f>
        <v>Cloudy Day</v>
      </c>
      <c r="O766">
        <v>0.3</v>
      </c>
      <c r="P766">
        <v>0.28789999999999999</v>
      </c>
      <c r="Q766">
        <v>0.42</v>
      </c>
      <c r="R766">
        <v>0.22389999999999999</v>
      </c>
      <c r="S766">
        <v>8</v>
      </c>
      <c r="T766">
        <v>91</v>
      </c>
      <c r="U766">
        <v>99</v>
      </c>
    </row>
    <row r="767" spans="1:21" x14ac:dyDescent="0.3">
      <c r="A767">
        <v>775</v>
      </c>
      <c r="B767" t="s">
        <v>75</v>
      </c>
      <c r="C767" t="str">
        <f t="shared" si="45"/>
        <v>04-Feb-2011</v>
      </c>
      <c r="D767">
        <v>1</v>
      </c>
      <c r="E767">
        <v>0</v>
      </c>
      <c r="F767">
        <v>2</v>
      </c>
      <c r="G767" t="str">
        <f t="shared" si="44"/>
        <v>Feb</v>
      </c>
      <c r="H767">
        <v>17</v>
      </c>
      <c r="I767">
        <f t="shared" si="46"/>
        <v>1</v>
      </c>
      <c r="J767" t="s">
        <v>126</v>
      </c>
      <c r="K767">
        <v>5</v>
      </c>
      <c r="L767" t="str">
        <f t="shared" si="47"/>
        <v>Weekday</v>
      </c>
      <c r="M767">
        <v>2</v>
      </c>
      <c r="N767" t="str" cm="1">
        <f t="array" ref="N767">_xlfn.IFS(M767=1,"Sunny Day",M767=2,"Cloudy Day",M767=3,"Rainy Day",M767=4,"Heavy Rain")</f>
        <v>Cloudy Day</v>
      </c>
      <c r="O767">
        <v>0.26</v>
      </c>
      <c r="P767">
        <v>0.2727</v>
      </c>
      <c r="Q767">
        <v>0.56000000000000005</v>
      </c>
      <c r="R767">
        <v>0.1343</v>
      </c>
      <c r="S767">
        <v>10</v>
      </c>
      <c r="T767">
        <v>195</v>
      </c>
      <c r="U767">
        <v>205</v>
      </c>
    </row>
    <row r="768" spans="1:21" x14ac:dyDescent="0.3">
      <c r="A768">
        <v>776</v>
      </c>
      <c r="B768" t="s">
        <v>75</v>
      </c>
      <c r="C768" t="str">
        <f t="shared" si="45"/>
        <v>04-Feb-2011</v>
      </c>
      <c r="D768">
        <v>1</v>
      </c>
      <c r="E768">
        <v>0</v>
      </c>
      <c r="F768">
        <v>2</v>
      </c>
      <c r="G768" t="str">
        <f t="shared" si="44"/>
        <v>Feb</v>
      </c>
      <c r="H768">
        <v>18</v>
      </c>
      <c r="I768">
        <f t="shared" si="46"/>
        <v>1</v>
      </c>
      <c r="J768" t="s">
        <v>126</v>
      </c>
      <c r="K768">
        <v>5</v>
      </c>
      <c r="L768" t="str">
        <f t="shared" si="47"/>
        <v>Weekday</v>
      </c>
      <c r="M768">
        <v>2</v>
      </c>
      <c r="N768" t="str" cm="1">
        <f t="array" ref="N768">_xlfn.IFS(M768=1,"Sunny Day",M768=2,"Cloudy Day",M768=3,"Rainy Day",M768=4,"Heavy Rain")</f>
        <v>Cloudy Day</v>
      </c>
      <c r="O768">
        <v>0.24</v>
      </c>
      <c r="P768">
        <v>0.2576</v>
      </c>
      <c r="Q768">
        <v>0.6</v>
      </c>
      <c r="R768">
        <v>0.1045</v>
      </c>
      <c r="S768">
        <v>3</v>
      </c>
      <c r="T768">
        <v>152</v>
      </c>
      <c r="U768">
        <v>155</v>
      </c>
    </row>
    <row r="769" spans="1:21" x14ac:dyDescent="0.3">
      <c r="A769">
        <v>777</v>
      </c>
      <c r="B769" t="s">
        <v>75</v>
      </c>
      <c r="C769" t="str">
        <f t="shared" si="45"/>
        <v>04-Feb-2011</v>
      </c>
      <c r="D769">
        <v>1</v>
      </c>
      <c r="E769">
        <v>0</v>
      </c>
      <c r="F769">
        <v>2</v>
      </c>
      <c r="G769" t="str">
        <f t="shared" si="44"/>
        <v>Feb</v>
      </c>
      <c r="H769">
        <v>19</v>
      </c>
      <c r="I769">
        <f t="shared" si="46"/>
        <v>1</v>
      </c>
      <c r="J769" t="s">
        <v>126</v>
      </c>
      <c r="K769">
        <v>5</v>
      </c>
      <c r="L769" t="str">
        <f t="shared" si="47"/>
        <v>Weekday</v>
      </c>
      <c r="M769">
        <v>2</v>
      </c>
      <c r="N769" t="str" cm="1">
        <f t="array" ref="N769">_xlfn.IFS(M769=1,"Sunny Day",M769=2,"Cloudy Day",M769=3,"Rainy Day",M769=4,"Heavy Rain")</f>
        <v>Cloudy Day</v>
      </c>
      <c r="O769">
        <v>0.24</v>
      </c>
      <c r="P769">
        <v>0.2424</v>
      </c>
      <c r="Q769">
        <v>0.65</v>
      </c>
      <c r="R769">
        <v>0.1343</v>
      </c>
      <c r="S769">
        <v>1</v>
      </c>
      <c r="T769">
        <v>102</v>
      </c>
      <c r="U769">
        <v>103</v>
      </c>
    </row>
    <row r="770" spans="1:21" x14ac:dyDescent="0.3">
      <c r="A770">
        <v>778</v>
      </c>
      <c r="B770" t="s">
        <v>75</v>
      </c>
      <c r="C770" t="str">
        <f t="shared" si="45"/>
        <v>04-Feb-2011</v>
      </c>
      <c r="D770">
        <v>1</v>
      </c>
      <c r="E770">
        <v>0</v>
      </c>
      <c r="F770">
        <v>2</v>
      </c>
      <c r="G770" t="str">
        <f t="shared" ref="G770:G833" si="48">TEXT(C770,"mmm")</f>
        <v>Feb</v>
      </c>
      <c r="H770">
        <v>20</v>
      </c>
      <c r="I770">
        <f t="shared" si="46"/>
        <v>1</v>
      </c>
      <c r="J770" t="s">
        <v>126</v>
      </c>
      <c r="K770">
        <v>5</v>
      </c>
      <c r="L770" t="str">
        <f t="shared" si="47"/>
        <v>Weekday</v>
      </c>
      <c r="M770">
        <v>2</v>
      </c>
      <c r="N770" t="str" cm="1">
        <f t="array" ref="N770">_xlfn.IFS(M770=1,"Sunny Day",M770=2,"Cloudy Day",M770=3,"Rainy Day",M770=4,"Heavy Rain")</f>
        <v>Cloudy Day</v>
      </c>
      <c r="O770">
        <v>0.24</v>
      </c>
      <c r="P770">
        <v>0.2424</v>
      </c>
      <c r="Q770">
        <v>0.65</v>
      </c>
      <c r="R770">
        <v>0.16420000000000001</v>
      </c>
      <c r="S770">
        <v>2</v>
      </c>
      <c r="T770">
        <v>69</v>
      </c>
      <c r="U770">
        <v>71</v>
      </c>
    </row>
    <row r="771" spans="1:21" x14ac:dyDescent="0.3">
      <c r="A771">
        <v>779</v>
      </c>
      <c r="B771" t="s">
        <v>75</v>
      </c>
      <c r="C771" t="str">
        <f t="shared" ref="C771:C834" si="49">TEXT(DATEVALUE(B771),"dd-mmm-yyyy")</f>
        <v>04-Feb-2011</v>
      </c>
      <c r="D771">
        <v>1</v>
      </c>
      <c r="E771">
        <v>0</v>
      </c>
      <c r="F771">
        <v>2</v>
      </c>
      <c r="G771" t="str">
        <f t="shared" si="48"/>
        <v>Feb</v>
      </c>
      <c r="H771">
        <v>21</v>
      </c>
      <c r="I771">
        <f t="shared" ref="I771:I834" si="50">IF(AND(H771&gt;=0,H771&lt;=10),0,1)</f>
        <v>1</v>
      </c>
      <c r="J771" t="s">
        <v>126</v>
      </c>
      <c r="K771">
        <v>5</v>
      </c>
      <c r="L771" t="str">
        <f t="shared" ref="L771:L834" si="51">IF(AND(K771&gt;=1,K771&lt;=5),"Weekday","Weekend")</f>
        <v>Weekday</v>
      </c>
      <c r="M771">
        <v>2</v>
      </c>
      <c r="N771" t="str" cm="1">
        <f t="array" ref="N771">_xlfn.IFS(M771=1,"Sunny Day",M771=2,"Cloudy Day",M771=3,"Rainy Day",M771=4,"Heavy Rain")</f>
        <v>Cloudy Day</v>
      </c>
      <c r="O771">
        <v>0.24</v>
      </c>
      <c r="P771">
        <v>0.2424</v>
      </c>
      <c r="Q771">
        <v>0.7</v>
      </c>
      <c r="R771">
        <v>0.16420000000000001</v>
      </c>
      <c r="S771">
        <v>2</v>
      </c>
      <c r="T771">
        <v>41</v>
      </c>
      <c r="U771">
        <v>43</v>
      </c>
    </row>
    <row r="772" spans="1:21" x14ac:dyDescent="0.3">
      <c r="A772">
        <v>780</v>
      </c>
      <c r="B772" t="s">
        <v>75</v>
      </c>
      <c r="C772" t="str">
        <f t="shared" si="49"/>
        <v>04-Feb-2011</v>
      </c>
      <c r="D772">
        <v>1</v>
      </c>
      <c r="E772">
        <v>0</v>
      </c>
      <c r="F772">
        <v>2</v>
      </c>
      <c r="G772" t="str">
        <f t="shared" si="48"/>
        <v>Feb</v>
      </c>
      <c r="H772">
        <v>22</v>
      </c>
      <c r="I772">
        <f t="shared" si="50"/>
        <v>1</v>
      </c>
      <c r="J772" t="s">
        <v>126</v>
      </c>
      <c r="K772">
        <v>5</v>
      </c>
      <c r="L772" t="str">
        <f t="shared" si="51"/>
        <v>Weekday</v>
      </c>
      <c r="M772">
        <v>2</v>
      </c>
      <c r="N772" t="str" cm="1">
        <f t="array" ref="N772">_xlfn.IFS(M772=1,"Sunny Day",M772=2,"Cloudy Day",M772=3,"Rainy Day",M772=4,"Heavy Rain")</f>
        <v>Cloudy Day</v>
      </c>
      <c r="O772">
        <v>0.24</v>
      </c>
      <c r="P772">
        <v>0.2424</v>
      </c>
      <c r="Q772">
        <v>0.65</v>
      </c>
      <c r="R772">
        <v>0.16420000000000001</v>
      </c>
      <c r="S772">
        <v>1</v>
      </c>
      <c r="T772">
        <v>45</v>
      </c>
      <c r="U772">
        <v>46</v>
      </c>
    </row>
    <row r="773" spans="1:21" x14ac:dyDescent="0.3">
      <c r="A773">
        <v>781</v>
      </c>
      <c r="B773" t="s">
        <v>75</v>
      </c>
      <c r="C773" t="str">
        <f t="shared" si="49"/>
        <v>04-Feb-2011</v>
      </c>
      <c r="D773">
        <v>1</v>
      </c>
      <c r="E773">
        <v>0</v>
      </c>
      <c r="F773">
        <v>2</v>
      </c>
      <c r="G773" t="str">
        <f t="shared" si="48"/>
        <v>Feb</v>
      </c>
      <c r="H773">
        <v>23</v>
      </c>
      <c r="I773">
        <f t="shared" si="50"/>
        <v>1</v>
      </c>
      <c r="J773" t="s">
        <v>126</v>
      </c>
      <c r="K773">
        <v>5</v>
      </c>
      <c r="L773" t="str">
        <f t="shared" si="51"/>
        <v>Weekday</v>
      </c>
      <c r="M773">
        <v>2</v>
      </c>
      <c r="N773" t="str" cm="1">
        <f t="array" ref="N773">_xlfn.IFS(M773=1,"Sunny Day",M773=2,"Cloudy Day",M773=3,"Rainy Day",M773=4,"Heavy Rain")</f>
        <v>Cloudy Day</v>
      </c>
      <c r="O773">
        <v>0.24</v>
      </c>
      <c r="P773">
        <v>0.2424</v>
      </c>
      <c r="Q773">
        <v>0.7</v>
      </c>
      <c r="R773">
        <v>0.1343</v>
      </c>
      <c r="S773">
        <v>1</v>
      </c>
      <c r="T773">
        <v>30</v>
      </c>
      <c r="U773">
        <v>31</v>
      </c>
    </row>
    <row r="774" spans="1:21" x14ac:dyDescent="0.3">
      <c r="A774">
        <v>782</v>
      </c>
      <c r="B774" t="s">
        <v>77</v>
      </c>
      <c r="C774" t="str">
        <f t="shared" si="49"/>
        <v>05-Feb-2011</v>
      </c>
      <c r="D774">
        <v>1</v>
      </c>
      <c r="E774">
        <v>0</v>
      </c>
      <c r="F774">
        <v>2</v>
      </c>
      <c r="G774" t="str">
        <f t="shared" si="48"/>
        <v>Feb</v>
      </c>
      <c r="H774">
        <v>0</v>
      </c>
      <c r="I774">
        <f t="shared" si="50"/>
        <v>0</v>
      </c>
      <c r="J774" t="s">
        <v>125</v>
      </c>
      <c r="K774">
        <v>6</v>
      </c>
      <c r="L774" t="str">
        <f t="shared" si="51"/>
        <v>Weekend</v>
      </c>
      <c r="M774">
        <v>2</v>
      </c>
      <c r="N774" t="str" cm="1">
        <f t="array" ref="N774">_xlfn.IFS(M774=1,"Sunny Day",M774=2,"Cloudy Day",M774=3,"Rainy Day",M774=4,"Heavy Rain")</f>
        <v>Cloudy Day</v>
      </c>
      <c r="O774">
        <v>0.24</v>
      </c>
      <c r="P774">
        <v>0.2424</v>
      </c>
      <c r="Q774">
        <v>0.7</v>
      </c>
      <c r="R774">
        <v>0.16420000000000001</v>
      </c>
      <c r="S774">
        <v>3</v>
      </c>
      <c r="T774">
        <v>36</v>
      </c>
      <c r="U774">
        <v>39</v>
      </c>
    </row>
    <row r="775" spans="1:21" x14ac:dyDescent="0.3">
      <c r="A775">
        <v>783</v>
      </c>
      <c r="B775" t="s">
        <v>77</v>
      </c>
      <c r="C775" t="str">
        <f t="shared" si="49"/>
        <v>05-Feb-2011</v>
      </c>
      <c r="D775">
        <v>1</v>
      </c>
      <c r="E775">
        <v>0</v>
      </c>
      <c r="F775">
        <v>2</v>
      </c>
      <c r="G775" t="str">
        <f t="shared" si="48"/>
        <v>Feb</v>
      </c>
      <c r="H775">
        <v>1</v>
      </c>
      <c r="I775">
        <f t="shared" si="50"/>
        <v>0</v>
      </c>
      <c r="J775" t="s">
        <v>125</v>
      </c>
      <c r="K775">
        <v>6</v>
      </c>
      <c r="L775" t="str">
        <f t="shared" si="51"/>
        <v>Weekend</v>
      </c>
      <c r="M775">
        <v>2</v>
      </c>
      <c r="N775" t="str" cm="1">
        <f t="array" ref="N775">_xlfn.IFS(M775=1,"Sunny Day",M775=2,"Cloudy Day",M775=3,"Rainy Day",M775=4,"Heavy Rain")</f>
        <v>Cloudy Day</v>
      </c>
      <c r="O775">
        <v>0.24</v>
      </c>
      <c r="P775">
        <v>0.2424</v>
      </c>
      <c r="Q775">
        <v>0.65</v>
      </c>
      <c r="R775">
        <v>0.16420000000000001</v>
      </c>
      <c r="S775">
        <v>1</v>
      </c>
      <c r="T775">
        <v>17</v>
      </c>
      <c r="U775">
        <v>18</v>
      </c>
    </row>
    <row r="776" spans="1:21" x14ac:dyDescent="0.3">
      <c r="A776">
        <v>784</v>
      </c>
      <c r="B776" t="s">
        <v>77</v>
      </c>
      <c r="C776" t="str">
        <f t="shared" si="49"/>
        <v>05-Feb-2011</v>
      </c>
      <c r="D776">
        <v>1</v>
      </c>
      <c r="E776">
        <v>0</v>
      </c>
      <c r="F776">
        <v>2</v>
      </c>
      <c r="G776" t="str">
        <f t="shared" si="48"/>
        <v>Feb</v>
      </c>
      <c r="H776">
        <v>2</v>
      </c>
      <c r="I776">
        <f t="shared" si="50"/>
        <v>0</v>
      </c>
      <c r="J776" t="s">
        <v>125</v>
      </c>
      <c r="K776">
        <v>6</v>
      </c>
      <c r="L776" t="str">
        <f t="shared" si="51"/>
        <v>Weekend</v>
      </c>
      <c r="M776">
        <v>2</v>
      </c>
      <c r="N776" t="str" cm="1">
        <f t="array" ref="N776">_xlfn.IFS(M776=1,"Sunny Day",M776=2,"Cloudy Day",M776=3,"Rainy Day",M776=4,"Heavy Rain")</f>
        <v>Cloudy Day</v>
      </c>
      <c r="O776">
        <v>0.24</v>
      </c>
      <c r="P776">
        <v>0.2424</v>
      </c>
      <c r="Q776">
        <v>0.75</v>
      </c>
      <c r="R776">
        <v>0.16420000000000001</v>
      </c>
      <c r="S776">
        <v>5</v>
      </c>
      <c r="T776">
        <v>12</v>
      </c>
      <c r="U776">
        <v>17</v>
      </c>
    </row>
    <row r="777" spans="1:21" x14ac:dyDescent="0.3">
      <c r="A777">
        <v>785</v>
      </c>
      <c r="B777" t="s">
        <v>77</v>
      </c>
      <c r="C777" t="str">
        <f t="shared" si="49"/>
        <v>05-Feb-2011</v>
      </c>
      <c r="D777">
        <v>1</v>
      </c>
      <c r="E777">
        <v>0</v>
      </c>
      <c r="F777">
        <v>2</v>
      </c>
      <c r="G777" t="str">
        <f t="shared" si="48"/>
        <v>Feb</v>
      </c>
      <c r="H777">
        <v>3</v>
      </c>
      <c r="I777">
        <f t="shared" si="50"/>
        <v>0</v>
      </c>
      <c r="J777" t="s">
        <v>125</v>
      </c>
      <c r="K777">
        <v>6</v>
      </c>
      <c r="L777" t="str">
        <f t="shared" si="51"/>
        <v>Weekend</v>
      </c>
      <c r="M777">
        <v>2</v>
      </c>
      <c r="N777" t="str" cm="1">
        <f t="array" ref="N777">_xlfn.IFS(M777=1,"Sunny Day",M777=2,"Cloudy Day",M777=3,"Rainy Day",M777=4,"Heavy Rain")</f>
        <v>Cloudy Day</v>
      </c>
      <c r="O777">
        <v>0.24</v>
      </c>
      <c r="P777">
        <v>0.2424</v>
      </c>
      <c r="Q777">
        <v>0.75</v>
      </c>
      <c r="R777">
        <v>0.16420000000000001</v>
      </c>
      <c r="S777">
        <v>1</v>
      </c>
      <c r="T777">
        <v>10</v>
      </c>
      <c r="U777">
        <v>11</v>
      </c>
    </row>
    <row r="778" spans="1:21" x14ac:dyDescent="0.3">
      <c r="A778">
        <v>786</v>
      </c>
      <c r="B778" t="s">
        <v>77</v>
      </c>
      <c r="C778" t="str">
        <f t="shared" si="49"/>
        <v>05-Feb-2011</v>
      </c>
      <c r="D778">
        <v>1</v>
      </c>
      <c r="E778">
        <v>0</v>
      </c>
      <c r="F778">
        <v>2</v>
      </c>
      <c r="G778" t="str">
        <f t="shared" si="48"/>
        <v>Feb</v>
      </c>
      <c r="H778">
        <v>4</v>
      </c>
      <c r="I778">
        <f t="shared" si="50"/>
        <v>0</v>
      </c>
      <c r="J778" t="s">
        <v>125</v>
      </c>
      <c r="K778">
        <v>6</v>
      </c>
      <c r="L778" t="str">
        <f t="shared" si="51"/>
        <v>Weekend</v>
      </c>
      <c r="M778">
        <v>3</v>
      </c>
      <c r="N778" t="str" cm="1">
        <f t="array" ref="N778">_xlfn.IFS(M778=1,"Sunny Day",M778=2,"Cloudy Day",M778=3,"Rainy Day",M778=4,"Heavy Rain")</f>
        <v>Rainy Day</v>
      </c>
      <c r="O778">
        <v>0.22</v>
      </c>
      <c r="P778">
        <v>0.2273</v>
      </c>
      <c r="Q778">
        <v>0.93</v>
      </c>
      <c r="R778">
        <v>0.1343</v>
      </c>
      <c r="S778">
        <v>0</v>
      </c>
      <c r="T778">
        <v>8</v>
      </c>
      <c r="U778">
        <v>8</v>
      </c>
    </row>
    <row r="779" spans="1:21" x14ac:dyDescent="0.3">
      <c r="A779">
        <v>787</v>
      </c>
      <c r="B779" t="s">
        <v>77</v>
      </c>
      <c r="C779" t="str">
        <f t="shared" si="49"/>
        <v>05-Feb-2011</v>
      </c>
      <c r="D779">
        <v>1</v>
      </c>
      <c r="E779">
        <v>0</v>
      </c>
      <c r="F779">
        <v>2</v>
      </c>
      <c r="G779" t="str">
        <f t="shared" si="48"/>
        <v>Feb</v>
      </c>
      <c r="H779">
        <v>5</v>
      </c>
      <c r="I779">
        <f t="shared" si="50"/>
        <v>0</v>
      </c>
      <c r="J779" t="s">
        <v>125</v>
      </c>
      <c r="K779">
        <v>6</v>
      </c>
      <c r="L779" t="str">
        <f t="shared" si="51"/>
        <v>Weekend</v>
      </c>
      <c r="M779">
        <v>3</v>
      </c>
      <c r="N779" t="str" cm="1">
        <f t="array" ref="N779">_xlfn.IFS(M779=1,"Sunny Day",M779=2,"Cloudy Day",M779=3,"Rainy Day",M779=4,"Heavy Rain")</f>
        <v>Rainy Day</v>
      </c>
      <c r="O779">
        <v>0.2</v>
      </c>
      <c r="P779">
        <v>0.2273</v>
      </c>
      <c r="Q779">
        <v>1</v>
      </c>
      <c r="R779">
        <v>8.9599999999999999E-2</v>
      </c>
      <c r="S779">
        <v>0</v>
      </c>
      <c r="T779">
        <v>9</v>
      </c>
      <c r="U779">
        <v>9</v>
      </c>
    </row>
    <row r="780" spans="1:21" x14ac:dyDescent="0.3">
      <c r="A780">
        <v>788</v>
      </c>
      <c r="B780" t="s">
        <v>77</v>
      </c>
      <c r="C780" t="str">
        <f t="shared" si="49"/>
        <v>05-Feb-2011</v>
      </c>
      <c r="D780">
        <v>1</v>
      </c>
      <c r="E780">
        <v>0</v>
      </c>
      <c r="F780">
        <v>2</v>
      </c>
      <c r="G780" t="str">
        <f t="shared" si="48"/>
        <v>Feb</v>
      </c>
      <c r="H780">
        <v>6</v>
      </c>
      <c r="I780">
        <f t="shared" si="50"/>
        <v>0</v>
      </c>
      <c r="J780" t="s">
        <v>125</v>
      </c>
      <c r="K780">
        <v>6</v>
      </c>
      <c r="L780" t="str">
        <f t="shared" si="51"/>
        <v>Weekend</v>
      </c>
      <c r="M780">
        <v>3</v>
      </c>
      <c r="N780" t="str" cm="1">
        <f t="array" ref="N780">_xlfn.IFS(M780=1,"Sunny Day",M780=2,"Cloudy Day",M780=3,"Rainy Day",M780=4,"Heavy Rain")</f>
        <v>Rainy Day</v>
      </c>
      <c r="O780">
        <v>0.2</v>
      </c>
      <c r="P780">
        <v>0.2576</v>
      </c>
      <c r="Q780">
        <v>1</v>
      </c>
      <c r="R780">
        <v>0</v>
      </c>
      <c r="S780">
        <v>0</v>
      </c>
      <c r="T780">
        <v>4</v>
      </c>
      <c r="U780">
        <v>4</v>
      </c>
    </row>
    <row r="781" spans="1:21" x14ac:dyDescent="0.3">
      <c r="A781">
        <v>789</v>
      </c>
      <c r="B781" t="s">
        <v>77</v>
      </c>
      <c r="C781" t="str">
        <f t="shared" si="49"/>
        <v>05-Feb-2011</v>
      </c>
      <c r="D781">
        <v>1</v>
      </c>
      <c r="E781">
        <v>0</v>
      </c>
      <c r="F781">
        <v>2</v>
      </c>
      <c r="G781" t="str">
        <f t="shared" si="48"/>
        <v>Feb</v>
      </c>
      <c r="H781">
        <v>7</v>
      </c>
      <c r="I781">
        <f t="shared" si="50"/>
        <v>0</v>
      </c>
      <c r="J781" t="s">
        <v>125</v>
      </c>
      <c r="K781">
        <v>6</v>
      </c>
      <c r="L781" t="str">
        <f t="shared" si="51"/>
        <v>Weekend</v>
      </c>
      <c r="M781">
        <v>3</v>
      </c>
      <c r="N781" t="str" cm="1">
        <f t="array" ref="N781">_xlfn.IFS(M781=1,"Sunny Day",M781=2,"Cloudy Day",M781=3,"Rainy Day",M781=4,"Heavy Rain")</f>
        <v>Rainy Day</v>
      </c>
      <c r="O781">
        <v>0.22</v>
      </c>
      <c r="P781">
        <v>0.2576</v>
      </c>
      <c r="Q781">
        <v>0.93</v>
      </c>
      <c r="R781">
        <v>8.9599999999999999E-2</v>
      </c>
      <c r="S781">
        <v>0</v>
      </c>
      <c r="T781">
        <v>4</v>
      </c>
      <c r="U781">
        <v>4</v>
      </c>
    </row>
    <row r="782" spans="1:21" x14ac:dyDescent="0.3">
      <c r="A782">
        <v>790</v>
      </c>
      <c r="B782" t="s">
        <v>77</v>
      </c>
      <c r="C782" t="str">
        <f t="shared" si="49"/>
        <v>05-Feb-2011</v>
      </c>
      <c r="D782">
        <v>1</v>
      </c>
      <c r="E782">
        <v>0</v>
      </c>
      <c r="F782">
        <v>2</v>
      </c>
      <c r="G782" t="str">
        <f t="shared" si="48"/>
        <v>Feb</v>
      </c>
      <c r="H782">
        <v>8</v>
      </c>
      <c r="I782">
        <f t="shared" si="50"/>
        <v>0</v>
      </c>
      <c r="J782" t="s">
        <v>125</v>
      </c>
      <c r="K782">
        <v>6</v>
      </c>
      <c r="L782" t="str">
        <f t="shared" si="51"/>
        <v>Weekend</v>
      </c>
      <c r="M782">
        <v>3</v>
      </c>
      <c r="N782" t="str" cm="1">
        <f t="array" ref="N782">_xlfn.IFS(M782=1,"Sunny Day",M782=2,"Cloudy Day",M782=3,"Rainy Day",M782=4,"Heavy Rain")</f>
        <v>Rainy Day</v>
      </c>
      <c r="O782">
        <v>0.2</v>
      </c>
      <c r="P782">
        <v>0.2273</v>
      </c>
      <c r="Q782">
        <v>1</v>
      </c>
      <c r="R782">
        <v>8.9599999999999999E-2</v>
      </c>
      <c r="S782">
        <v>0</v>
      </c>
      <c r="T782">
        <v>10</v>
      </c>
      <c r="U782">
        <v>10</v>
      </c>
    </row>
    <row r="783" spans="1:21" x14ac:dyDescent="0.3">
      <c r="A783">
        <v>791</v>
      </c>
      <c r="B783" t="s">
        <v>77</v>
      </c>
      <c r="C783" t="str">
        <f t="shared" si="49"/>
        <v>05-Feb-2011</v>
      </c>
      <c r="D783">
        <v>1</v>
      </c>
      <c r="E783">
        <v>0</v>
      </c>
      <c r="F783">
        <v>2</v>
      </c>
      <c r="G783" t="str">
        <f t="shared" si="48"/>
        <v>Feb</v>
      </c>
      <c r="H783">
        <v>9</v>
      </c>
      <c r="I783">
        <f t="shared" si="50"/>
        <v>0</v>
      </c>
      <c r="J783" t="s">
        <v>125</v>
      </c>
      <c r="K783">
        <v>6</v>
      </c>
      <c r="L783" t="str">
        <f t="shared" si="51"/>
        <v>Weekend</v>
      </c>
      <c r="M783">
        <v>3</v>
      </c>
      <c r="N783" t="str" cm="1">
        <f t="array" ref="N783">_xlfn.IFS(M783=1,"Sunny Day",M783=2,"Cloudy Day",M783=3,"Rainy Day",M783=4,"Heavy Rain")</f>
        <v>Rainy Day</v>
      </c>
      <c r="O783">
        <v>0.2</v>
      </c>
      <c r="P783">
        <v>0.2273</v>
      </c>
      <c r="Q783">
        <v>1</v>
      </c>
      <c r="R783">
        <v>8.9599999999999999E-2</v>
      </c>
      <c r="S783">
        <v>3</v>
      </c>
      <c r="T783">
        <v>17</v>
      </c>
      <c r="U783">
        <v>20</v>
      </c>
    </row>
    <row r="784" spans="1:21" x14ac:dyDescent="0.3">
      <c r="A784">
        <v>792</v>
      </c>
      <c r="B784" t="s">
        <v>77</v>
      </c>
      <c r="C784" t="str">
        <f t="shared" si="49"/>
        <v>05-Feb-2011</v>
      </c>
      <c r="D784">
        <v>1</v>
      </c>
      <c r="E784">
        <v>0</v>
      </c>
      <c r="F784">
        <v>2</v>
      </c>
      <c r="G784" t="str">
        <f t="shared" si="48"/>
        <v>Feb</v>
      </c>
      <c r="H784">
        <v>10</v>
      </c>
      <c r="I784">
        <f t="shared" si="50"/>
        <v>0</v>
      </c>
      <c r="J784" t="s">
        <v>125</v>
      </c>
      <c r="K784">
        <v>6</v>
      </c>
      <c r="L784" t="str">
        <f t="shared" si="51"/>
        <v>Weekend</v>
      </c>
      <c r="M784">
        <v>3</v>
      </c>
      <c r="N784" t="str" cm="1">
        <f t="array" ref="N784">_xlfn.IFS(M784=1,"Sunny Day",M784=2,"Cloudy Day",M784=3,"Rainy Day",M784=4,"Heavy Rain")</f>
        <v>Rainy Day</v>
      </c>
      <c r="O784">
        <v>0.2</v>
      </c>
      <c r="P784">
        <v>0.21210000000000001</v>
      </c>
      <c r="Q784">
        <v>1</v>
      </c>
      <c r="R784">
        <v>0.1343</v>
      </c>
      <c r="S784">
        <v>3</v>
      </c>
      <c r="T784">
        <v>31</v>
      </c>
      <c r="U784">
        <v>34</v>
      </c>
    </row>
    <row r="785" spans="1:21" x14ac:dyDescent="0.3">
      <c r="A785">
        <v>793</v>
      </c>
      <c r="B785" t="s">
        <v>77</v>
      </c>
      <c r="C785" t="str">
        <f t="shared" si="49"/>
        <v>05-Feb-2011</v>
      </c>
      <c r="D785">
        <v>1</v>
      </c>
      <c r="E785">
        <v>0</v>
      </c>
      <c r="F785">
        <v>2</v>
      </c>
      <c r="G785" t="str">
        <f t="shared" si="48"/>
        <v>Feb</v>
      </c>
      <c r="H785">
        <v>11</v>
      </c>
      <c r="I785">
        <f t="shared" si="50"/>
        <v>1</v>
      </c>
      <c r="J785" t="s">
        <v>125</v>
      </c>
      <c r="K785">
        <v>6</v>
      </c>
      <c r="L785" t="str">
        <f t="shared" si="51"/>
        <v>Weekend</v>
      </c>
      <c r="M785">
        <v>3</v>
      </c>
      <c r="N785" t="str" cm="1">
        <f t="array" ref="N785">_xlfn.IFS(M785=1,"Sunny Day",M785=2,"Cloudy Day",M785=3,"Rainy Day",M785=4,"Heavy Rain")</f>
        <v>Rainy Day</v>
      </c>
      <c r="O785">
        <v>0.22</v>
      </c>
      <c r="P785">
        <v>0.2273</v>
      </c>
      <c r="Q785">
        <v>1</v>
      </c>
      <c r="R785">
        <v>0.1343</v>
      </c>
      <c r="S785">
        <v>1</v>
      </c>
      <c r="T785">
        <v>46</v>
      </c>
      <c r="U785">
        <v>47</v>
      </c>
    </row>
    <row r="786" spans="1:21" x14ac:dyDescent="0.3">
      <c r="A786">
        <v>794</v>
      </c>
      <c r="B786" t="s">
        <v>77</v>
      </c>
      <c r="C786" t="str">
        <f t="shared" si="49"/>
        <v>05-Feb-2011</v>
      </c>
      <c r="D786">
        <v>1</v>
      </c>
      <c r="E786">
        <v>0</v>
      </c>
      <c r="F786">
        <v>2</v>
      </c>
      <c r="G786" t="str">
        <f t="shared" si="48"/>
        <v>Feb</v>
      </c>
      <c r="H786">
        <v>12</v>
      </c>
      <c r="I786">
        <f t="shared" si="50"/>
        <v>1</v>
      </c>
      <c r="J786" t="s">
        <v>125</v>
      </c>
      <c r="K786">
        <v>6</v>
      </c>
      <c r="L786" t="str">
        <f t="shared" si="51"/>
        <v>Weekend</v>
      </c>
      <c r="M786">
        <v>3</v>
      </c>
      <c r="N786" t="str" cm="1">
        <f t="array" ref="N786">_xlfn.IFS(M786=1,"Sunny Day",M786=2,"Cloudy Day",M786=3,"Rainy Day",M786=4,"Heavy Rain")</f>
        <v>Rainy Day</v>
      </c>
      <c r="O786">
        <v>0.22</v>
      </c>
      <c r="P786">
        <v>0.2273</v>
      </c>
      <c r="Q786">
        <v>1</v>
      </c>
      <c r="R786">
        <v>0.16420000000000001</v>
      </c>
      <c r="S786">
        <v>10</v>
      </c>
      <c r="T786">
        <v>42</v>
      </c>
      <c r="U786">
        <v>52</v>
      </c>
    </row>
    <row r="787" spans="1:21" x14ac:dyDescent="0.3">
      <c r="A787">
        <v>795</v>
      </c>
      <c r="B787" t="s">
        <v>77</v>
      </c>
      <c r="C787" t="str">
        <f t="shared" si="49"/>
        <v>05-Feb-2011</v>
      </c>
      <c r="D787">
        <v>1</v>
      </c>
      <c r="E787">
        <v>0</v>
      </c>
      <c r="F787">
        <v>2</v>
      </c>
      <c r="G787" t="str">
        <f t="shared" si="48"/>
        <v>Feb</v>
      </c>
      <c r="H787">
        <v>13</v>
      </c>
      <c r="I787">
        <f t="shared" si="50"/>
        <v>1</v>
      </c>
      <c r="J787" t="s">
        <v>125</v>
      </c>
      <c r="K787">
        <v>6</v>
      </c>
      <c r="L787" t="str">
        <f t="shared" si="51"/>
        <v>Weekend</v>
      </c>
      <c r="M787">
        <v>3</v>
      </c>
      <c r="N787" t="str" cm="1">
        <f t="array" ref="N787">_xlfn.IFS(M787=1,"Sunny Day",M787=2,"Cloudy Day",M787=3,"Rainy Day",M787=4,"Heavy Rain")</f>
        <v>Rainy Day</v>
      </c>
      <c r="O787">
        <v>0.22</v>
      </c>
      <c r="P787">
        <v>0.2273</v>
      </c>
      <c r="Q787">
        <v>1</v>
      </c>
      <c r="R787">
        <v>0.16420000000000001</v>
      </c>
      <c r="S787">
        <v>10</v>
      </c>
      <c r="T787">
        <v>62</v>
      </c>
      <c r="U787">
        <v>72</v>
      </c>
    </row>
    <row r="788" spans="1:21" x14ac:dyDescent="0.3">
      <c r="A788">
        <v>796</v>
      </c>
      <c r="B788" t="s">
        <v>77</v>
      </c>
      <c r="C788" t="str">
        <f t="shared" si="49"/>
        <v>05-Feb-2011</v>
      </c>
      <c r="D788">
        <v>1</v>
      </c>
      <c r="E788">
        <v>0</v>
      </c>
      <c r="F788">
        <v>2</v>
      </c>
      <c r="G788" t="str">
        <f t="shared" si="48"/>
        <v>Feb</v>
      </c>
      <c r="H788">
        <v>14</v>
      </c>
      <c r="I788">
        <f t="shared" si="50"/>
        <v>1</v>
      </c>
      <c r="J788" t="s">
        <v>125</v>
      </c>
      <c r="K788">
        <v>6</v>
      </c>
      <c r="L788" t="str">
        <f t="shared" si="51"/>
        <v>Weekend</v>
      </c>
      <c r="M788">
        <v>3</v>
      </c>
      <c r="N788" t="str" cm="1">
        <f t="array" ref="N788">_xlfn.IFS(M788=1,"Sunny Day",M788=2,"Cloudy Day",M788=3,"Rainy Day",M788=4,"Heavy Rain")</f>
        <v>Rainy Day</v>
      </c>
      <c r="O788">
        <v>0.22</v>
      </c>
      <c r="P788">
        <v>0.2727</v>
      </c>
      <c r="Q788">
        <v>1</v>
      </c>
      <c r="R788">
        <v>0</v>
      </c>
      <c r="S788">
        <v>5</v>
      </c>
      <c r="T788">
        <v>50</v>
      </c>
      <c r="U788">
        <v>55</v>
      </c>
    </row>
    <row r="789" spans="1:21" x14ac:dyDescent="0.3">
      <c r="A789">
        <v>797</v>
      </c>
      <c r="B789" t="s">
        <v>77</v>
      </c>
      <c r="C789" t="str">
        <f t="shared" si="49"/>
        <v>05-Feb-2011</v>
      </c>
      <c r="D789">
        <v>1</v>
      </c>
      <c r="E789">
        <v>0</v>
      </c>
      <c r="F789">
        <v>2</v>
      </c>
      <c r="G789" t="str">
        <f t="shared" si="48"/>
        <v>Feb</v>
      </c>
      <c r="H789">
        <v>15</v>
      </c>
      <c r="I789">
        <f t="shared" si="50"/>
        <v>1</v>
      </c>
      <c r="J789" t="s">
        <v>125</v>
      </c>
      <c r="K789">
        <v>6</v>
      </c>
      <c r="L789" t="str">
        <f t="shared" si="51"/>
        <v>Weekend</v>
      </c>
      <c r="M789">
        <v>3</v>
      </c>
      <c r="N789" t="str" cm="1">
        <f t="array" ref="N789">_xlfn.IFS(M789=1,"Sunny Day",M789=2,"Cloudy Day",M789=3,"Rainy Day",M789=4,"Heavy Rain")</f>
        <v>Rainy Day</v>
      </c>
      <c r="O789">
        <v>0.22</v>
      </c>
      <c r="P789">
        <v>0.2727</v>
      </c>
      <c r="Q789">
        <v>1</v>
      </c>
      <c r="R789">
        <v>0</v>
      </c>
      <c r="S789">
        <v>11</v>
      </c>
      <c r="T789">
        <v>49</v>
      </c>
      <c r="U789">
        <v>60</v>
      </c>
    </row>
    <row r="790" spans="1:21" x14ac:dyDescent="0.3">
      <c r="A790">
        <v>798</v>
      </c>
      <c r="B790" t="s">
        <v>77</v>
      </c>
      <c r="C790" t="str">
        <f t="shared" si="49"/>
        <v>05-Feb-2011</v>
      </c>
      <c r="D790">
        <v>1</v>
      </c>
      <c r="E790">
        <v>0</v>
      </c>
      <c r="F790">
        <v>2</v>
      </c>
      <c r="G790" t="str">
        <f t="shared" si="48"/>
        <v>Feb</v>
      </c>
      <c r="H790">
        <v>16</v>
      </c>
      <c r="I790">
        <f t="shared" si="50"/>
        <v>1</v>
      </c>
      <c r="J790" t="s">
        <v>125</v>
      </c>
      <c r="K790">
        <v>6</v>
      </c>
      <c r="L790" t="str">
        <f t="shared" si="51"/>
        <v>Weekend</v>
      </c>
      <c r="M790">
        <v>3</v>
      </c>
      <c r="N790" t="str" cm="1">
        <f t="array" ref="N790">_xlfn.IFS(M790=1,"Sunny Day",M790=2,"Cloudy Day",M790=3,"Rainy Day",M790=4,"Heavy Rain")</f>
        <v>Rainy Day</v>
      </c>
      <c r="O790">
        <v>0.22</v>
      </c>
      <c r="P790">
        <v>0.2273</v>
      </c>
      <c r="Q790">
        <v>1</v>
      </c>
      <c r="R790">
        <v>0.1343</v>
      </c>
      <c r="S790">
        <v>8</v>
      </c>
      <c r="T790">
        <v>63</v>
      </c>
      <c r="U790">
        <v>71</v>
      </c>
    </row>
    <row r="791" spans="1:21" x14ac:dyDescent="0.3">
      <c r="A791">
        <v>799</v>
      </c>
      <c r="B791" t="s">
        <v>77</v>
      </c>
      <c r="C791" t="str">
        <f t="shared" si="49"/>
        <v>05-Feb-2011</v>
      </c>
      <c r="D791">
        <v>1</v>
      </c>
      <c r="E791">
        <v>0</v>
      </c>
      <c r="F791">
        <v>2</v>
      </c>
      <c r="G791" t="str">
        <f t="shared" si="48"/>
        <v>Feb</v>
      </c>
      <c r="H791">
        <v>17</v>
      </c>
      <c r="I791">
        <f t="shared" si="50"/>
        <v>1</v>
      </c>
      <c r="J791" t="s">
        <v>125</v>
      </c>
      <c r="K791">
        <v>6</v>
      </c>
      <c r="L791" t="str">
        <f t="shared" si="51"/>
        <v>Weekend</v>
      </c>
      <c r="M791">
        <v>2</v>
      </c>
      <c r="N791" t="str" cm="1">
        <f t="array" ref="N791">_xlfn.IFS(M791=1,"Sunny Day",M791=2,"Cloudy Day",M791=3,"Rainy Day",M791=4,"Heavy Rain")</f>
        <v>Cloudy Day</v>
      </c>
      <c r="O791">
        <v>0.24</v>
      </c>
      <c r="P791">
        <v>0.21210000000000001</v>
      </c>
      <c r="Q791">
        <v>1</v>
      </c>
      <c r="R791">
        <v>0.28360000000000002</v>
      </c>
      <c r="S791">
        <v>14</v>
      </c>
      <c r="T791">
        <v>64</v>
      </c>
      <c r="U791">
        <v>78</v>
      </c>
    </row>
    <row r="792" spans="1:21" x14ac:dyDescent="0.3">
      <c r="A792">
        <v>800</v>
      </c>
      <c r="B792" t="s">
        <v>77</v>
      </c>
      <c r="C792" t="str">
        <f t="shared" si="49"/>
        <v>05-Feb-2011</v>
      </c>
      <c r="D792">
        <v>1</v>
      </c>
      <c r="E792">
        <v>0</v>
      </c>
      <c r="F792">
        <v>2</v>
      </c>
      <c r="G792" t="str">
        <f t="shared" si="48"/>
        <v>Feb</v>
      </c>
      <c r="H792">
        <v>18</v>
      </c>
      <c r="I792">
        <f t="shared" si="50"/>
        <v>1</v>
      </c>
      <c r="J792" t="s">
        <v>125</v>
      </c>
      <c r="K792">
        <v>6</v>
      </c>
      <c r="L792" t="str">
        <f t="shared" si="51"/>
        <v>Weekend</v>
      </c>
      <c r="M792">
        <v>2</v>
      </c>
      <c r="N792" t="str" cm="1">
        <f t="array" ref="N792">_xlfn.IFS(M792=1,"Sunny Day",M792=2,"Cloudy Day",M792=3,"Rainy Day",M792=4,"Heavy Rain")</f>
        <v>Cloudy Day</v>
      </c>
      <c r="O792">
        <v>0.28000000000000003</v>
      </c>
      <c r="P792">
        <v>0.2424</v>
      </c>
      <c r="Q792">
        <v>0.93</v>
      </c>
      <c r="R792">
        <v>0.44779999999999998</v>
      </c>
      <c r="S792">
        <v>2</v>
      </c>
      <c r="T792">
        <v>81</v>
      </c>
      <c r="U792">
        <v>83</v>
      </c>
    </row>
    <row r="793" spans="1:21" x14ac:dyDescent="0.3">
      <c r="A793">
        <v>801</v>
      </c>
      <c r="B793" t="s">
        <v>77</v>
      </c>
      <c r="C793" t="str">
        <f t="shared" si="49"/>
        <v>05-Feb-2011</v>
      </c>
      <c r="D793">
        <v>1</v>
      </c>
      <c r="E793">
        <v>0</v>
      </c>
      <c r="F793">
        <v>2</v>
      </c>
      <c r="G793" t="str">
        <f t="shared" si="48"/>
        <v>Feb</v>
      </c>
      <c r="H793">
        <v>19</v>
      </c>
      <c r="I793">
        <f t="shared" si="50"/>
        <v>1</v>
      </c>
      <c r="J793" t="s">
        <v>125</v>
      </c>
      <c r="K793">
        <v>6</v>
      </c>
      <c r="L793" t="str">
        <f t="shared" si="51"/>
        <v>Weekend</v>
      </c>
      <c r="M793">
        <v>2</v>
      </c>
      <c r="N793" t="str" cm="1">
        <f t="array" ref="N793">_xlfn.IFS(M793=1,"Sunny Day",M793=2,"Cloudy Day",M793=3,"Rainy Day",M793=4,"Heavy Rain")</f>
        <v>Cloudy Day</v>
      </c>
      <c r="O793">
        <v>0.28000000000000003</v>
      </c>
      <c r="P793">
        <v>0.2424</v>
      </c>
      <c r="Q793">
        <v>0.93</v>
      </c>
      <c r="R793">
        <v>0.44779999999999998</v>
      </c>
      <c r="S793">
        <v>6</v>
      </c>
      <c r="T793">
        <v>78</v>
      </c>
      <c r="U793">
        <v>84</v>
      </c>
    </row>
    <row r="794" spans="1:21" x14ac:dyDescent="0.3">
      <c r="A794">
        <v>802</v>
      </c>
      <c r="B794" t="s">
        <v>77</v>
      </c>
      <c r="C794" t="str">
        <f t="shared" si="49"/>
        <v>05-Feb-2011</v>
      </c>
      <c r="D794">
        <v>1</v>
      </c>
      <c r="E794">
        <v>0</v>
      </c>
      <c r="F794">
        <v>2</v>
      </c>
      <c r="G794" t="str">
        <f t="shared" si="48"/>
        <v>Feb</v>
      </c>
      <c r="H794">
        <v>20</v>
      </c>
      <c r="I794">
        <f t="shared" si="50"/>
        <v>1</v>
      </c>
      <c r="J794" t="s">
        <v>125</v>
      </c>
      <c r="K794">
        <v>6</v>
      </c>
      <c r="L794" t="str">
        <f t="shared" si="51"/>
        <v>Weekend</v>
      </c>
      <c r="M794">
        <v>1</v>
      </c>
      <c r="N794" t="str" cm="1">
        <f t="array" ref="N794">_xlfn.IFS(M794=1,"Sunny Day",M794=2,"Cloudy Day",M794=3,"Rainy Day",M794=4,"Heavy Rain")</f>
        <v>Sunny Day</v>
      </c>
      <c r="O794">
        <v>0.3</v>
      </c>
      <c r="P794">
        <v>0.28789999999999999</v>
      </c>
      <c r="Q794">
        <v>0.87</v>
      </c>
      <c r="R794">
        <v>0.25369999999999998</v>
      </c>
      <c r="S794">
        <v>5</v>
      </c>
      <c r="T794">
        <v>64</v>
      </c>
      <c r="U794">
        <v>69</v>
      </c>
    </row>
    <row r="795" spans="1:21" x14ac:dyDescent="0.3">
      <c r="A795">
        <v>803</v>
      </c>
      <c r="B795" t="s">
        <v>77</v>
      </c>
      <c r="C795" t="str">
        <f t="shared" si="49"/>
        <v>05-Feb-2011</v>
      </c>
      <c r="D795">
        <v>1</v>
      </c>
      <c r="E795">
        <v>0</v>
      </c>
      <c r="F795">
        <v>2</v>
      </c>
      <c r="G795" t="str">
        <f t="shared" si="48"/>
        <v>Feb</v>
      </c>
      <c r="H795">
        <v>21</v>
      </c>
      <c r="I795">
        <f t="shared" si="50"/>
        <v>1</v>
      </c>
      <c r="J795" t="s">
        <v>125</v>
      </c>
      <c r="K795">
        <v>6</v>
      </c>
      <c r="L795" t="str">
        <f t="shared" si="51"/>
        <v>Weekend</v>
      </c>
      <c r="M795">
        <v>1</v>
      </c>
      <c r="N795" t="str" cm="1">
        <f t="array" ref="N795">_xlfn.IFS(M795=1,"Sunny Day",M795=2,"Cloudy Day",M795=3,"Rainy Day",M795=4,"Heavy Rain")</f>
        <v>Sunny Day</v>
      </c>
      <c r="O795">
        <v>0.26</v>
      </c>
      <c r="P795">
        <v>0.2576</v>
      </c>
      <c r="Q795">
        <v>1</v>
      </c>
      <c r="R795">
        <v>0.19400000000000001</v>
      </c>
      <c r="S795">
        <v>3</v>
      </c>
      <c r="T795">
        <v>53</v>
      </c>
      <c r="U795">
        <v>56</v>
      </c>
    </row>
    <row r="796" spans="1:21" x14ac:dyDescent="0.3">
      <c r="A796">
        <v>804</v>
      </c>
      <c r="B796" t="s">
        <v>77</v>
      </c>
      <c r="C796" t="str">
        <f t="shared" si="49"/>
        <v>05-Feb-2011</v>
      </c>
      <c r="D796">
        <v>1</v>
      </c>
      <c r="E796">
        <v>0</v>
      </c>
      <c r="F796">
        <v>2</v>
      </c>
      <c r="G796" t="str">
        <f t="shared" si="48"/>
        <v>Feb</v>
      </c>
      <c r="H796">
        <v>22</v>
      </c>
      <c r="I796">
        <f t="shared" si="50"/>
        <v>1</v>
      </c>
      <c r="J796" t="s">
        <v>125</v>
      </c>
      <c r="K796">
        <v>6</v>
      </c>
      <c r="L796" t="str">
        <f t="shared" si="51"/>
        <v>Weekend</v>
      </c>
      <c r="M796">
        <v>1</v>
      </c>
      <c r="N796" t="str" cm="1">
        <f t="array" ref="N796">_xlfn.IFS(M796=1,"Sunny Day",M796=2,"Cloudy Day",M796=3,"Rainy Day",M796=4,"Heavy Rain")</f>
        <v>Sunny Day</v>
      </c>
      <c r="O796">
        <v>0.26</v>
      </c>
      <c r="P796">
        <v>0.2727</v>
      </c>
      <c r="Q796">
        <v>0.93</v>
      </c>
      <c r="R796">
        <v>0.1343</v>
      </c>
      <c r="S796">
        <v>2</v>
      </c>
      <c r="T796">
        <v>43</v>
      </c>
      <c r="U796">
        <v>45</v>
      </c>
    </row>
    <row r="797" spans="1:21" x14ac:dyDescent="0.3">
      <c r="A797">
        <v>805</v>
      </c>
      <c r="B797" t="s">
        <v>77</v>
      </c>
      <c r="C797" t="str">
        <f t="shared" si="49"/>
        <v>05-Feb-2011</v>
      </c>
      <c r="D797">
        <v>1</v>
      </c>
      <c r="E797">
        <v>0</v>
      </c>
      <c r="F797">
        <v>2</v>
      </c>
      <c r="G797" t="str">
        <f t="shared" si="48"/>
        <v>Feb</v>
      </c>
      <c r="H797">
        <v>23</v>
      </c>
      <c r="I797">
        <f t="shared" si="50"/>
        <v>1</v>
      </c>
      <c r="J797" t="s">
        <v>125</v>
      </c>
      <c r="K797">
        <v>6</v>
      </c>
      <c r="L797" t="str">
        <f t="shared" si="51"/>
        <v>Weekend</v>
      </c>
      <c r="M797">
        <v>1</v>
      </c>
      <c r="N797" t="str" cm="1">
        <f t="array" ref="N797">_xlfn.IFS(M797=1,"Sunny Day",M797=2,"Cloudy Day",M797=3,"Rainy Day",M797=4,"Heavy Rain")</f>
        <v>Sunny Day</v>
      </c>
      <c r="O797">
        <v>0.26</v>
      </c>
      <c r="P797">
        <v>0.2576</v>
      </c>
      <c r="Q797">
        <v>0.93</v>
      </c>
      <c r="R797">
        <v>0.22389999999999999</v>
      </c>
      <c r="S797">
        <v>7</v>
      </c>
      <c r="T797">
        <v>52</v>
      </c>
      <c r="U797">
        <v>59</v>
      </c>
    </row>
    <row r="798" spans="1:21" x14ac:dyDescent="0.3">
      <c r="A798">
        <v>806</v>
      </c>
      <c r="B798" t="s">
        <v>79</v>
      </c>
      <c r="C798" t="str">
        <f t="shared" si="49"/>
        <v>06-Feb-2011</v>
      </c>
      <c r="D798">
        <v>1</v>
      </c>
      <c r="E798">
        <v>0</v>
      </c>
      <c r="F798">
        <v>2</v>
      </c>
      <c r="G798" t="str">
        <f t="shared" si="48"/>
        <v>Feb</v>
      </c>
      <c r="H798">
        <v>0</v>
      </c>
      <c r="I798">
        <f t="shared" si="50"/>
        <v>0</v>
      </c>
      <c r="J798" t="s">
        <v>125</v>
      </c>
      <c r="K798">
        <v>0</v>
      </c>
      <c r="L798" t="str">
        <f t="shared" si="51"/>
        <v>Weekend</v>
      </c>
      <c r="M798">
        <v>1</v>
      </c>
      <c r="N798" t="str" cm="1">
        <f t="array" ref="N798">_xlfn.IFS(M798=1,"Sunny Day",M798=2,"Cloudy Day",M798=3,"Rainy Day",M798=4,"Heavy Rain")</f>
        <v>Sunny Day</v>
      </c>
      <c r="O798">
        <v>0.26</v>
      </c>
      <c r="P798">
        <v>0.2576</v>
      </c>
      <c r="Q798">
        <v>0.7</v>
      </c>
      <c r="R798">
        <v>0.19400000000000001</v>
      </c>
      <c r="S798">
        <v>2</v>
      </c>
      <c r="T798">
        <v>37</v>
      </c>
      <c r="U798">
        <v>39</v>
      </c>
    </row>
    <row r="799" spans="1:21" x14ac:dyDescent="0.3">
      <c r="A799">
        <v>807</v>
      </c>
      <c r="B799" t="s">
        <v>79</v>
      </c>
      <c r="C799" t="str">
        <f t="shared" si="49"/>
        <v>06-Feb-2011</v>
      </c>
      <c r="D799">
        <v>1</v>
      </c>
      <c r="E799">
        <v>0</v>
      </c>
      <c r="F799">
        <v>2</v>
      </c>
      <c r="G799" t="str">
        <f t="shared" si="48"/>
        <v>Feb</v>
      </c>
      <c r="H799">
        <v>1</v>
      </c>
      <c r="I799">
        <f t="shared" si="50"/>
        <v>0</v>
      </c>
      <c r="J799" t="s">
        <v>125</v>
      </c>
      <c r="K799">
        <v>0</v>
      </c>
      <c r="L799" t="str">
        <f t="shared" si="51"/>
        <v>Weekend</v>
      </c>
      <c r="M799">
        <v>1</v>
      </c>
      <c r="N799" t="str" cm="1">
        <f t="array" ref="N799">_xlfn.IFS(M799=1,"Sunny Day",M799=2,"Cloudy Day",M799=3,"Rainy Day",M799=4,"Heavy Rain")</f>
        <v>Sunny Day</v>
      </c>
      <c r="O799">
        <v>0.26</v>
      </c>
      <c r="P799">
        <v>0.2273</v>
      </c>
      <c r="Q799">
        <v>0.65</v>
      </c>
      <c r="R799">
        <v>0.41789999999999999</v>
      </c>
      <c r="S799">
        <v>4</v>
      </c>
      <c r="T799">
        <v>40</v>
      </c>
      <c r="U799">
        <v>44</v>
      </c>
    </row>
    <row r="800" spans="1:21" x14ac:dyDescent="0.3">
      <c r="A800">
        <v>808</v>
      </c>
      <c r="B800" t="s">
        <v>79</v>
      </c>
      <c r="C800" t="str">
        <f t="shared" si="49"/>
        <v>06-Feb-2011</v>
      </c>
      <c r="D800">
        <v>1</v>
      </c>
      <c r="E800">
        <v>0</v>
      </c>
      <c r="F800">
        <v>2</v>
      </c>
      <c r="G800" t="str">
        <f t="shared" si="48"/>
        <v>Feb</v>
      </c>
      <c r="H800">
        <v>2</v>
      </c>
      <c r="I800">
        <f t="shared" si="50"/>
        <v>0</v>
      </c>
      <c r="J800" t="s">
        <v>125</v>
      </c>
      <c r="K800">
        <v>0</v>
      </c>
      <c r="L800" t="str">
        <f t="shared" si="51"/>
        <v>Weekend</v>
      </c>
      <c r="M800">
        <v>1</v>
      </c>
      <c r="N800" t="str" cm="1">
        <f t="array" ref="N800">_xlfn.IFS(M800=1,"Sunny Day",M800=2,"Cloudy Day",M800=3,"Rainy Day",M800=4,"Heavy Rain")</f>
        <v>Sunny Day</v>
      </c>
      <c r="O800">
        <v>0.26</v>
      </c>
      <c r="P800">
        <v>0.2273</v>
      </c>
      <c r="Q800">
        <v>0.6</v>
      </c>
      <c r="R800">
        <v>0.32840000000000003</v>
      </c>
      <c r="S800">
        <v>0</v>
      </c>
      <c r="T800">
        <v>20</v>
      </c>
      <c r="U800">
        <v>20</v>
      </c>
    </row>
    <row r="801" spans="1:21" x14ac:dyDescent="0.3">
      <c r="A801">
        <v>809</v>
      </c>
      <c r="B801" t="s">
        <v>79</v>
      </c>
      <c r="C801" t="str">
        <f t="shared" si="49"/>
        <v>06-Feb-2011</v>
      </c>
      <c r="D801">
        <v>1</v>
      </c>
      <c r="E801">
        <v>0</v>
      </c>
      <c r="F801">
        <v>2</v>
      </c>
      <c r="G801" t="str">
        <f t="shared" si="48"/>
        <v>Feb</v>
      </c>
      <c r="H801">
        <v>3</v>
      </c>
      <c r="I801">
        <f t="shared" si="50"/>
        <v>0</v>
      </c>
      <c r="J801" t="s">
        <v>125</v>
      </c>
      <c r="K801">
        <v>0</v>
      </c>
      <c r="L801" t="str">
        <f t="shared" si="51"/>
        <v>Weekend</v>
      </c>
      <c r="M801">
        <v>1</v>
      </c>
      <c r="N801" t="str" cm="1">
        <f t="array" ref="N801">_xlfn.IFS(M801=1,"Sunny Day",M801=2,"Cloudy Day",M801=3,"Rainy Day",M801=4,"Heavy Rain")</f>
        <v>Sunny Day</v>
      </c>
      <c r="O801">
        <v>0.26</v>
      </c>
      <c r="P801">
        <v>0.28789999999999999</v>
      </c>
      <c r="Q801">
        <v>0.6</v>
      </c>
      <c r="R801">
        <v>8.9599999999999999E-2</v>
      </c>
      <c r="S801">
        <v>3</v>
      </c>
      <c r="T801">
        <v>10</v>
      </c>
      <c r="U801">
        <v>13</v>
      </c>
    </row>
    <row r="802" spans="1:21" x14ac:dyDescent="0.3">
      <c r="A802">
        <v>810</v>
      </c>
      <c r="B802" t="s">
        <v>79</v>
      </c>
      <c r="C802" t="str">
        <f t="shared" si="49"/>
        <v>06-Feb-2011</v>
      </c>
      <c r="D802">
        <v>1</v>
      </c>
      <c r="E802">
        <v>0</v>
      </c>
      <c r="F802">
        <v>2</v>
      </c>
      <c r="G802" t="str">
        <f t="shared" si="48"/>
        <v>Feb</v>
      </c>
      <c r="H802">
        <v>4</v>
      </c>
      <c r="I802">
        <f t="shared" si="50"/>
        <v>0</v>
      </c>
      <c r="J802" t="s">
        <v>125</v>
      </c>
      <c r="K802">
        <v>0</v>
      </c>
      <c r="L802" t="str">
        <f t="shared" si="51"/>
        <v>Weekend</v>
      </c>
      <c r="M802">
        <v>1</v>
      </c>
      <c r="N802" t="str" cm="1">
        <f t="array" ref="N802">_xlfn.IFS(M802=1,"Sunny Day",M802=2,"Cloudy Day",M802=3,"Rainy Day",M802=4,"Heavy Rain")</f>
        <v>Sunny Day</v>
      </c>
      <c r="O802">
        <v>0.26</v>
      </c>
      <c r="P802">
        <v>0.2273</v>
      </c>
      <c r="Q802">
        <v>0.6</v>
      </c>
      <c r="R802">
        <v>0.35820000000000002</v>
      </c>
      <c r="S802">
        <v>0</v>
      </c>
      <c r="T802">
        <v>2</v>
      </c>
      <c r="U802">
        <v>2</v>
      </c>
    </row>
    <row r="803" spans="1:21" x14ac:dyDescent="0.3">
      <c r="A803">
        <v>811</v>
      </c>
      <c r="B803" t="s">
        <v>79</v>
      </c>
      <c r="C803" t="str">
        <f t="shared" si="49"/>
        <v>06-Feb-2011</v>
      </c>
      <c r="D803">
        <v>1</v>
      </c>
      <c r="E803">
        <v>0</v>
      </c>
      <c r="F803">
        <v>2</v>
      </c>
      <c r="G803" t="str">
        <f t="shared" si="48"/>
        <v>Feb</v>
      </c>
      <c r="H803">
        <v>5</v>
      </c>
      <c r="I803">
        <f t="shared" si="50"/>
        <v>0</v>
      </c>
      <c r="J803" t="s">
        <v>125</v>
      </c>
      <c r="K803">
        <v>0</v>
      </c>
      <c r="L803" t="str">
        <f t="shared" si="51"/>
        <v>Weekend</v>
      </c>
      <c r="M803">
        <v>1</v>
      </c>
      <c r="N803" t="str" cm="1">
        <f t="array" ref="N803">_xlfn.IFS(M803=1,"Sunny Day",M803=2,"Cloudy Day",M803=3,"Rainy Day",M803=4,"Heavy Rain")</f>
        <v>Sunny Day</v>
      </c>
      <c r="O803">
        <v>0.26</v>
      </c>
      <c r="P803">
        <v>0.2576</v>
      </c>
      <c r="Q803">
        <v>0.6</v>
      </c>
      <c r="R803">
        <v>0.22389999999999999</v>
      </c>
      <c r="S803">
        <v>0</v>
      </c>
      <c r="T803">
        <v>1</v>
      </c>
      <c r="U803">
        <v>1</v>
      </c>
    </row>
    <row r="804" spans="1:21" x14ac:dyDescent="0.3">
      <c r="A804">
        <v>812</v>
      </c>
      <c r="B804" t="s">
        <v>79</v>
      </c>
      <c r="C804" t="str">
        <f t="shared" si="49"/>
        <v>06-Feb-2011</v>
      </c>
      <c r="D804">
        <v>1</v>
      </c>
      <c r="E804">
        <v>0</v>
      </c>
      <c r="F804">
        <v>2</v>
      </c>
      <c r="G804" t="str">
        <f t="shared" si="48"/>
        <v>Feb</v>
      </c>
      <c r="H804">
        <v>6</v>
      </c>
      <c r="I804">
        <f t="shared" si="50"/>
        <v>0</v>
      </c>
      <c r="J804" t="s">
        <v>125</v>
      </c>
      <c r="K804">
        <v>0</v>
      </c>
      <c r="L804" t="str">
        <f t="shared" si="51"/>
        <v>Weekend</v>
      </c>
      <c r="M804">
        <v>1</v>
      </c>
      <c r="N804" t="str" cm="1">
        <f t="array" ref="N804">_xlfn.IFS(M804=1,"Sunny Day",M804=2,"Cloudy Day",M804=3,"Rainy Day",M804=4,"Heavy Rain")</f>
        <v>Sunny Day</v>
      </c>
      <c r="O804">
        <v>0.26</v>
      </c>
      <c r="P804">
        <v>0.2576</v>
      </c>
      <c r="Q804">
        <v>0.6</v>
      </c>
      <c r="R804">
        <v>0.22389999999999999</v>
      </c>
      <c r="S804">
        <v>0</v>
      </c>
      <c r="T804">
        <v>1</v>
      </c>
      <c r="U804">
        <v>1</v>
      </c>
    </row>
    <row r="805" spans="1:21" x14ac:dyDescent="0.3">
      <c r="A805">
        <v>813</v>
      </c>
      <c r="B805" t="s">
        <v>79</v>
      </c>
      <c r="C805" t="str">
        <f t="shared" si="49"/>
        <v>06-Feb-2011</v>
      </c>
      <c r="D805">
        <v>1</v>
      </c>
      <c r="E805">
        <v>0</v>
      </c>
      <c r="F805">
        <v>2</v>
      </c>
      <c r="G805" t="str">
        <f t="shared" si="48"/>
        <v>Feb</v>
      </c>
      <c r="H805">
        <v>7</v>
      </c>
      <c r="I805">
        <f t="shared" si="50"/>
        <v>0</v>
      </c>
      <c r="J805" t="s">
        <v>125</v>
      </c>
      <c r="K805">
        <v>0</v>
      </c>
      <c r="L805" t="str">
        <f t="shared" si="51"/>
        <v>Weekend</v>
      </c>
      <c r="M805">
        <v>1</v>
      </c>
      <c r="N805" t="str" cm="1">
        <f t="array" ref="N805">_xlfn.IFS(M805=1,"Sunny Day",M805=2,"Cloudy Day",M805=3,"Rainy Day",M805=4,"Heavy Rain")</f>
        <v>Sunny Day</v>
      </c>
      <c r="O805">
        <v>0.24</v>
      </c>
      <c r="P805">
        <v>0.2424</v>
      </c>
      <c r="Q805">
        <v>0.65</v>
      </c>
      <c r="R805">
        <v>0.16420000000000001</v>
      </c>
      <c r="S805">
        <v>0</v>
      </c>
      <c r="T805">
        <v>8</v>
      </c>
      <c r="U805">
        <v>8</v>
      </c>
    </row>
    <row r="806" spans="1:21" x14ac:dyDescent="0.3">
      <c r="A806">
        <v>814</v>
      </c>
      <c r="B806" t="s">
        <v>79</v>
      </c>
      <c r="C806" t="str">
        <f t="shared" si="49"/>
        <v>06-Feb-2011</v>
      </c>
      <c r="D806">
        <v>1</v>
      </c>
      <c r="E806">
        <v>0</v>
      </c>
      <c r="F806">
        <v>2</v>
      </c>
      <c r="G806" t="str">
        <f t="shared" si="48"/>
        <v>Feb</v>
      </c>
      <c r="H806">
        <v>8</v>
      </c>
      <c r="I806">
        <f t="shared" si="50"/>
        <v>0</v>
      </c>
      <c r="J806" t="s">
        <v>125</v>
      </c>
      <c r="K806">
        <v>0</v>
      </c>
      <c r="L806" t="str">
        <f t="shared" si="51"/>
        <v>Weekend</v>
      </c>
      <c r="M806">
        <v>1</v>
      </c>
      <c r="N806" t="str" cm="1">
        <f t="array" ref="N806">_xlfn.IFS(M806=1,"Sunny Day",M806=2,"Cloudy Day",M806=3,"Rainy Day",M806=4,"Heavy Rain")</f>
        <v>Sunny Day</v>
      </c>
      <c r="O806">
        <v>0.24</v>
      </c>
      <c r="P806">
        <v>0.2576</v>
      </c>
      <c r="Q806">
        <v>0.65</v>
      </c>
      <c r="R806">
        <v>0.1045</v>
      </c>
      <c r="S806">
        <v>2</v>
      </c>
      <c r="T806">
        <v>21</v>
      </c>
      <c r="U806">
        <v>23</v>
      </c>
    </row>
    <row r="807" spans="1:21" x14ac:dyDescent="0.3">
      <c r="A807">
        <v>815</v>
      </c>
      <c r="B807" t="s">
        <v>79</v>
      </c>
      <c r="C807" t="str">
        <f t="shared" si="49"/>
        <v>06-Feb-2011</v>
      </c>
      <c r="D807">
        <v>1</v>
      </c>
      <c r="E807">
        <v>0</v>
      </c>
      <c r="F807">
        <v>2</v>
      </c>
      <c r="G807" t="str">
        <f t="shared" si="48"/>
        <v>Feb</v>
      </c>
      <c r="H807">
        <v>9</v>
      </c>
      <c r="I807">
        <f t="shared" si="50"/>
        <v>0</v>
      </c>
      <c r="J807" t="s">
        <v>125</v>
      </c>
      <c r="K807">
        <v>0</v>
      </c>
      <c r="L807" t="str">
        <f t="shared" si="51"/>
        <v>Weekend</v>
      </c>
      <c r="M807">
        <v>1</v>
      </c>
      <c r="N807" t="str" cm="1">
        <f t="array" ref="N807">_xlfn.IFS(M807=1,"Sunny Day",M807=2,"Cloudy Day",M807=3,"Rainy Day",M807=4,"Heavy Rain")</f>
        <v>Sunny Day</v>
      </c>
      <c r="O807">
        <v>0.28000000000000003</v>
      </c>
      <c r="P807">
        <v>0.28789999999999999</v>
      </c>
      <c r="Q807">
        <v>0.56000000000000005</v>
      </c>
      <c r="R807">
        <v>0.1045</v>
      </c>
      <c r="S807">
        <v>7</v>
      </c>
      <c r="T807">
        <v>38</v>
      </c>
      <c r="U807">
        <v>45</v>
      </c>
    </row>
    <row r="808" spans="1:21" x14ac:dyDescent="0.3">
      <c r="A808">
        <v>816</v>
      </c>
      <c r="B808" t="s">
        <v>79</v>
      </c>
      <c r="C808" t="str">
        <f t="shared" si="49"/>
        <v>06-Feb-2011</v>
      </c>
      <c r="D808">
        <v>1</v>
      </c>
      <c r="E808">
        <v>0</v>
      </c>
      <c r="F808">
        <v>2</v>
      </c>
      <c r="G808" t="str">
        <f t="shared" si="48"/>
        <v>Feb</v>
      </c>
      <c r="H808">
        <v>10</v>
      </c>
      <c r="I808">
        <f t="shared" si="50"/>
        <v>0</v>
      </c>
      <c r="J808" t="s">
        <v>125</v>
      </c>
      <c r="K808">
        <v>0</v>
      </c>
      <c r="L808" t="str">
        <f t="shared" si="51"/>
        <v>Weekend</v>
      </c>
      <c r="M808">
        <v>1</v>
      </c>
      <c r="N808" t="str" cm="1">
        <f t="array" ref="N808">_xlfn.IFS(M808=1,"Sunny Day",M808=2,"Cloudy Day",M808=3,"Rainy Day",M808=4,"Heavy Rain")</f>
        <v>Sunny Day</v>
      </c>
      <c r="O808">
        <v>0.3</v>
      </c>
      <c r="P808">
        <v>0.28789999999999999</v>
      </c>
      <c r="Q808">
        <v>0.52</v>
      </c>
      <c r="R808">
        <v>0.25369999999999998</v>
      </c>
      <c r="S808">
        <v>15</v>
      </c>
      <c r="T808">
        <v>74</v>
      </c>
      <c r="U808">
        <v>89</v>
      </c>
    </row>
    <row r="809" spans="1:21" x14ac:dyDescent="0.3">
      <c r="A809">
        <v>817</v>
      </c>
      <c r="B809" t="s">
        <v>79</v>
      </c>
      <c r="C809" t="str">
        <f t="shared" si="49"/>
        <v>06-Feb-2011</v>
      </c>
      <c r="D809">
        <v>1</v>
      </c>
      <c r="E809">
        <v>0</v>
      </c>
      <c r="F809">
        <v>2</v>
      </c>
      <c r="G809" t="str">
        <f t="shared" si="48"/>
        <v>Feb</v>
      </c>
      <c r="H809">
        <v>11</v>
      </c>
      <c r="I809">
        <f t="shared" si="50"/>
        <v>1</v>
      </c>
      <c r="J809" t="s">
        <v>125</v>
      </c>
      <c r="K809">
        <v>0</v>
      </c>
      <c r="L809" t="str">
        <f t="shared" si="51"/>
        <v>Weekend</v>
      </c>
      <c r="M809">
        <v>1</v>
      </c>
      <c r="N809" t="str" cm="1">
        <f t="array" ref="N809">_xlfn.IFS(M809=1,"Sunny Day",M809=2,"Cloudy Day",M809=3,"Rainy Day",M809=4,"Heavy Rain")</f>
        <v>Sunny Day</v>
      </c>
      <c r="O809">
        <v>0.32</v>
      </c>
      <c r="P809">
        <v>0.30299999999999999</v>
      </c>
      <c r="Q809">
        <v>0.49</v>
      </c>
      <c r="R809">
        <v>0.25369999999999998</v>
      </c>
      <c r="S809">
        <v>28</v>
      </c>
      <c r="T809">
        <v>89</v>
      </c>
      <c r="U809">
        <v>117</v>
      </c>
    </row>
    <row r="810" spans="1:21" x14ac:dyDescent="0.3">
      <c r="A810">
        <v>818</v>
      </c>
      <c r="B810" t="s">
        <v>79</v>
      </c>
      <c r="C810" t="str">
        <f t="shared" si="49"/>
        <v>06-Feb-2011</v>
      </c>
      <c r="D810">
        <v>1</v>
      </c>
      <c r="E810">
        <v>0</v>
      </c>
      <c r="F810">
        <v>2</v>
      </c>
      <c r="G810" t="str">
        <f t="shared" si="48"/>
        <v>Feb</v>
      </c>
      <c r="H810">
        <v>12</v>
      </c>
      <c r="I810">
        <f t="shared" si="50"/>
        <v>1</v>
      </c>
      <c r="J810" t="s">
        <v>125</v>
      </c>
      <c r="K810">
        <v>0</v>
      </c>
      <c r="L810" t="str">
        <f t="shared" si="51"/>
        <v>Weekend</v>
      </c>
      <c r="M810">
        <v>1</v>
      </c>
      <c r="N810" t="str" cm="1">
        <f t="array" ref="N810">_xlfn.IFS(M810=1,"Sunny Day",M810=2,"Cloudy Day",M810=3,"Rainy Day",M810=4,"Heavy Rain")</f>
        <v>Sunny Day</v>
      </c>
      <c r="O810">
        <v>0.34</v>
      </c>
      <c r="P810">
        <v>0.33329999999999999</v>
      </c>
      <c r="Q810">
        <v>0.46</v>
      </c>
      <c r="R810">
        <v>0</v>
      </c>
      <c r="S810">
        <v>48</v>
      </c>
      <c r="T810">
        <v>126</v>
      </c>
      <c r="U810">
        <v>174</v>
      </c>
    </row>
    <row r="811" spans="1:21" x14ac:dyDescent="0.3">
      <c r="A811">
        <v>819</v>
      </c>
      <c r="B811" t="s">
        <v>79</v>
      </c>
      <c r="C811" t="str">
        <f t="shared" si="49"/>
        <v>06-Feb-2011</v>
      </c>
      <c r="D811">
        <v>1</v>
      </c>
      <c r="E811">
        <v>0</v>
      </c>
      <c r="F811">
        <v>2</v>
      </c>
      <c r="G811" t="str">
        <f t="shared" si="48"/>
        <v>Feb</v>
      </c>
      <c r="H811">
        <v>13</v>
      </c>
      <c r="I811">
        <f t="shared" si="50"/>
        <v>1</v>
      </c>
      <c r="J811" t="s">
        <v>125</v>
      </c>
      <c r="K811">
        <v>0</v>
      </c>
      <c r="L811" t="str">
        <f t="shared" si="51"/>
        <v>Weekend</v>
      </c>
      <c r="M811">
        <v>1</v>
      </c>
      <c r="N811" t="str" cm="1">
        <f t="array" ref="N811">_xlfn.IFS(M811=1,"Sunny Day",M811=2,"Cloudy Day",M811=3,"Rainy Day",M811=4,"Heavy Rain")</f>
        <v>Sunny Day</v>
      </c>
      <c r="O811">
        <v>0.34</v>
      </c>
      <c r="P811">
        <v>0.36359999999999998</v>
      </c>
      <c r="Q811">
        <v>0.46</v>
      </c>
      <c r="R811">
        <v>0</v>
      </c>
      <c r="S811">
        <v>47</v>
      </c>
      <c r="T811">
        <v>135</v>
      </c>
      <c r="U811">
        <v>182</v>
      </c>
    </row>
    <row r="812" spans="1:21" x14ac:dyDescent="0.3">
      <c r="A812">
        <v>820</v>
      </c>
      <c r="B812" t="s">
        <v>79</v>
      </c>
      <c r="C812" t="str">
        <f t="shared" si="49"/>
        <v>06-Feb-2011</v>
      </c>
      <c r="D812">
        <v>1</v>
      </c>
      <c r="E812">
        <v>0</v>
      </c>
      <c r="F812">
        <v>2</v>
      </c>
      <c r="G812" t="str">
        <f t="shared" si="48"/>
        <v>Feb</v>
      </c>
      <c r="H812">
        <v>14</v>
      </c>
      <c r="I812">
        <f t="shared" si="50"/>
        <v>1</v>
      </c>
      <c r="J812" t="s">
        <v>125</v>
      </c>
      <c r="K812">
        <v>0</v>
      </c>
      <c r="L812" t="str">
        <f t="shared" si="51"/>
        <v>Weekend</v>
      </c>
      <c r="M812">
        <v>1</v>
      </c>
      <c r="N812" t="str" cm="1">
        <f t="array" ref="N812">_xlfn.IFS(M812=1,"Sunny Day",M812=2,"Cloudy Day",M812=3,"Rainy Day",M812=4,"Heavy Rain")</f>
        <v>Sunny Day</v>
      </c>
      <c r="O812">
        <v>0.34</v>
      </c>
      <c r="P812">
        <v>0.34849999999999998</v>
      </c>
      <c r="Q812">
        <v>0.46</v>
      </c>
      <c r="R812">
        <v>8.9599999999999999E-2</v>
      </c>
      <c r="S812">
        <v>47</v>
      </c>
      <c r="T812">
        <v>114</v>
      </c>
      <c r="U812">
        <v>161</v>
      </c>
    </row>
    <row r="813" spans="1:21" x14ac:dyDescent="0.3">
      <c r="A813">
        <v>821</v>
      </c>
      <c r="B813" t="s">
        <v>79</v>
      </c>
      <c r="C813" t="str">
        <f t="shared" si="49"/>
        <v>06-Feb-2011</v>
      </c>
      <c r="D813">
        <v>1</v>
      </c>
      <c r="E813">
        <v>0</v>
      </c>
      <c r="F813">
        <v>2</v>
      </c>
      <c r="G813" t="str">
        <f t="shared" si="48"/>
        <v>Feb</v>
      </c>
      <c r="H813">
        <v>15</v>
      </c>
      <c r="I813">
        <f t="shared" si="50"/>
        <v>1</v>
      </c>
      <c r="J813" t="s">
        <v>125</v>
      </c>
      <c r="K813">
        <v>0</v>
      </c>
      <c r="L813" t="str">
        <f t="shared" si="51"/>
        <v>Weekend</v>
      </c>
      <c r="M813">
        <v>1</v>
      </c>
      <c r="N813" t="str" cm="1">
        <f t="array" ref="N813">_xlfn.IFS(M813=1,"Sunny Day",M813=2,"Cloudy Day",M813=3,"Rainy Day",M813=4,"Heavy Rain")</f>
        <v>Sunny Day</v>
      </c>
      <c r="O813">
        <v>0.34</v>
      </c>
      <c r="P813">
        <v>0.34849999999999998</v>
      </c>
      <c r="Q813">
        <v>0.46</v>
      </c>
      <c r="R813">
        <v>8.9599999999999999E-2</v>
      </c>
      <c r="S813">
        <v>52</v>
      </c>
      <c r="T813">
        <v>130</v>
      </c>
      <c r="U813">
        <v>182</v>
      </c>
    </row>
    <row r="814" spans="1:21" x14ac:dyDescent="0.3">
      <c r="A814">
        <v>822</v>
      </c>
      <c r="B814" t="s">
        <v>79</v>
      </c>
      <c r="C814" t="str">
        <f t="shared" si="49"/>
        <v>06-Feb-2011</v>
      </c>
      <c r="D814">
        <v>1</v>
      </c>
      <c r="E814">
        <v>0</v>
      </c>
      <c r="F814">
        <v>2</v>
      </c>
      <c r="G814" t="str">
        <f t="shared" si="48"/>
        <v>Feb</v>
      </c>
      <c r="H814">
        <v>16</v>
      </c>
      <c r="I814">
        <f t="shared" si="50"/>
        <v>1</v>
      </c>
      <c r="J814" t="s">
        <v>125</v>
      </c>
      <c r="K814">
        <v>0</v>
      </c>
      <c r="L814" t="str">
        <f t="shared" si="51"/>
        <v>Weekend</v>
      </c>
      <c r="M814">
        <v>1</v>
      </c>
      <c r="N814" t="str" cm="1">
        <f t="array" ref="N814">_xlfn.IFS(M814=1,"Sunny Day",M814=2,"Cloudy Day",M814=3,"Rainy Day",M814=4,"Heavy Rain")</f>
        <v>Sunny Day</v>
      </c>
      <c r="O814">
        <v>0.34</v>
      </c>
      <c r="P814">
        <v>0.34849999999999998</v>
      </c>
      <c r="Q814">
        <v>0.49</v>
      </c>
      <c r="R814">
        <v>0.1045</v>
      </c>
      <c r="S814">
        <v>42</v>
      </c>
      <c r="T814">
        <v>115</v>
      </c>
      <c r="U814">
        <v>157</v>
      </c>
    </row>
    <row r="815" spans="1:21" x14ac:dyDescent="0.3">
      <c r="A815">
        <v>823</v>
      </c>
      <c r="B815" t="s">
        <v>79</v>
      </c>
      <c r="C815" t="str">
        <f t="shared" si="49"/>
        <v>06-Feb-2011</v>
      </c>
      <c r="D815">
        <v>1</v>
      </c>
      <c r="E815">
        <v>0</v>
      </c>
      <c r="F815">
        <v>2</v>
      </c>
      <c r="G815" t="str">
        <f t="shared" si="48"/>
        <v>Feb</v>
      </c>
      <c r="H815">
        <v>17</v>
      </c>
      <c r="I815">
        <f t="shared" si="50"/>
        <v>1</v>
      </c>
      <c r="J815" t="s">
        <v>125</v>
      </c>
      <c r="K815">
        <v>0</v>
      </c>
      <c r="L815" t="str">
        <f t="shared" si="51"/>
        <v>Weekend</v>
      </c>
      <c r="M815">
        <v>1</v>
      </c>
      <c r="N815" t="str" cm="1">
        <f t="array" ref="N815">_xlfn.IFS(M815=1,"Sunny Day",M815=2,"Cloudy Day",M815=3,"Rainy Day",M815=4,"Heavy Rain")</f>
        <v>Sunny Day</v>
      </c>
      <c r="O815">
        <v>0.34</v>
      </c>
      <c r="P815">
        <v>0.36359999999999998</v>
      </c>
      <c r="Q815">
        <v>0.46</v>
      </c>
      <c r="R815">
        <v>0</v>
      </c>
      <c r="S815">
        <v>24</v>
      </c>
      <c r="T815">
        <v>97</v>
      </c>
      <c r="U815">
        <v>121</v>
      </c>
    </row>
    <row r="816" spans="1:21" x14ac:dyDescent="0.3">
      <c r="A816">
        <v>824</v>
      </c>
      <c r="B816" t="s">
        <v>79</v>
      </c>
      <c r="C816" t="str">
        <f t="shared" si="49"/>
        <v>06-Feb-2011</v>
      </c>
      <c r="D816">
        <v>1</v>
      </c>
      <c r="E816">
        <v>0</v>
      </c>
      <c r="F816">
        <v>2</v>
      </c>
      <c r="G816" t="str">
        <f t="shared" si="48"/>
        <v>Feb</v>
      </c>
      <c r="H816">
        <v>18</v>
      </c>
      <c r="I816">
        <f t="shared" si="50"/>
        <v>1</v>
      </c>
      <c r="J816" t="s">
        <v>125</v>
      </c>
      <c r="K816">
        <v>0</v>
      </c>
      <c r="L816" t="str">
        <f t="shared" si="51"/>
        <v>Weekend</v>
      </c>
      <c r="M816">
        <v>1</v>
      </c>
      <c r="N816" t="str" cm="1">
        <f t="array" ref="N816">_xlfn.IFS(M816=1,"Sunny Day",M816=2,"Cloudy Day",M816=3,"Rainy Day",M816=4,"Heavy Rain")</f>
        <v>Sunny Day</v>
      </c>
      <c r="O816">
        <v>0.3</v>
      </c>
      <c r="P816">
        <v>0.30299999999999999</v>
      </c>
      <c r="Q816">
        <v>0.56000000000000005</v>
      </c>
      <c r="R816">
        <v>0.16420000000000001</v>
      </c>
      <c r="S816">
        <v>13</v>
      </c>
      <c r="T816">
        <v>65</v>
      </c>
      <c r="U816">
        <v>78</v>
      </c>
    </row>
    <row r="817" spans="1:21" x14ac:dyDescent="0.3">
      <c r="A817">
        <v>825</v>
      </c>
      <c r="B817" t="s">
        <v>79</v>
      </c>
      <c r="C817" t="str">
        <f t="shared" si="49"/>
        <v>06-Feb-2011</v>
      </c>
      <c r="D817">
        <v>1</v>
      </c>
      <c r="E817">
        <v>0</v>
      </c>
      <c r="F817">
        <v>2</v>
      </c>
      <c r="G817" t="str">
        <f t="shared" si="48"/>
        <v>Feb</v>
      </c>
      <c r="H817">
        <v>19</v>
      </c>
      <c r="I817">
        <f t="shared" si="50"/>
        <v>1</v>
      </c>
      <c r="J817" t="s">
        <v>125</v>
      </c>
      <c r="K817">
        <v>0</v>
      </c>
      <c r="L817" t="str">
        <f t="shared" si="51"/>
        <v>Weekend</v>
      </c>
      <c r="M817">
        <v>1</v>
      </c>
      <c r="N817" t="str" cm="1">
        <f t="array" ref="N817">_xlfn.IFS(M817=1,"Sunny Day",M817=2,"Cloudy Day",M817=3,"Rainy Day",M817=4,"Heavy Rain")</f>
        <v>Sunny Day</v>
      </c>
      <c r="O817">
        <v>0.28000000000000003</v>
      </c>
      <c r="P817">
        <v>0.28789999999999999</v>
      </c>
      <c r="Q817">
        <v>0.61</v>
      </c>
      <c r="R817">
        <v>0.1343</v>
      </c>
      <c r="S817">
        <v>1</v>
      </c>
      <c r="T817">
        <v>20</v>
      </c>
      <c r="U817">
        <v>21</v>
      </c>
    </row>
    <row r="818" spans="1:21" x14ac:dyDescent="0.3">
      <c r="A818">
        <v>826</v>
      </c>
      <c r="B818" t="s">
        <v>79</v>
      </c>
      <c r="C818" t="str">
        <f t="shared" si="49"/>
        <v>06-Feb-2011</v>
      </c>
      <c r="D818">
        <v>1</v>
      </c>
      <c r="E818">
        <v>0</v>
      </c>
      <c r="F818">
        <v>2</v>
      </c>
      <c r="G818" t="str">
        <f t="shared" si="48"/>
        <v>Feb</v>
      </c>
      <c r="H818">
        <v>20</v>
      </c>
      <c r="I818">
        <f t="shared" si="50"/>
        <v>1</v>
      </c>
      <c r="J818" t="s">
        <v>125</v>
      </c>
      <c r="K818">
        <v>0</v>
      </c>
      <c r="L818" t="str">
        <f t="shared" si="51"/>
        <v>Weekend</v>
      </c>
      <c r="M818">
        <v>1</v>
      </c>
      <c r="N818" t="str" cm="1">
        <f t="array" ref="N818">_xlfn.IFS(M818=1,"Sunny Day",M818=2,"Cloudy Day",M818=3,"Rainy Day",M818=4,"Heavy Rain")</f>
        <v>Sunny Day</v>
      </c>
      <c r="O818">
        <v>0.28000000000000003</v>
      </c>
      <c r="P818">
        <v>0.28789999999999999</v>
      </c>
      <c r="Q818">
        <v>0.61</v>
      </c>
      <c r="R818">
        <v>0.1045</v>
      </c>
      <c r="S818">
        <v>5</v>
      </c>
      <c r="T818">
        <v>21</v>
      </c>
      <c r="U818">
        <v>26</v>
      </c>
    </row>
    <row r="819" spans="1:21" x14ac:dyDescent="0.3">
      <c r="A819">
        <v>827</v>
      </c>
      <c r="B819" t="s">
        <v>79</v>
      </c>
      <c r="C819" t="str">
        <f t="shared" si="49"/>
        <v>06-Feb-2011</v>
      </c>
      <c r="D819">
        <v>1</v>
      </c>
      <c r="E819">
        <v>0</v>
      </c>
      <c r="F819">
        <v>2</v>
      </c>
      <c r="G819" t="str">
        <f t="shared" si="48"/>
        <v>Feb</v>
      </c>
      <c r="H819">
        <v>21</v>
      </c>
      <c r="I819">
        <f t="shared" si="50"/>
        <v>1</v>
      </c>
      <c r="J819" t="s">
        <v>125</v>
      </c>
      <c r="K819">
        <v>0</v>
      </c>
      <c r="L819" t="str">
        <f t="shared" si="51"/>
        <v>Weekend</v>
      </c>
      <c r="M819">
        <v>1</v>
      </c>
      <c r="N819" t="str" cm="1">
        <f t="array" ref="N819">_xlfn.IFS(M819=1,"Sunny Day",M819=2,"Cloudy Day",M819=3,"Rainy Day",M819=4,"Heavy Rain")</f>
        <v>Sunny Day</v>
      </c>
      <c r="O819">
        <v>0.26</v>
      </c>
      <c r="P819">
        <v>0.30299999999999999</v>
      </c>
      <c r="Q819">
        <v>0.6</v>
      </c>
      <c r="R819">
        <v>0</v>
      </c>
      <c r="S819">
        <v>5</v>
      </c>
      <c r="T819">
        <v>22</v>
      </c>
      <c r="U819">
        <v>27</v>
      </c>
    </row>
    <row r="820" spans="1:21" x14ac:dyDescent="0.3">
      <c r="A820">
        <v>828</v>
      </c>
      <c r="B820" t="s">
        <v>79</v>
      </c>
      <c r="C820" t="str">
        <f t="shared" si="49"/>
        <v>06-Feb-2011</v>
      </c>
      <c r="D820">
        <v>1</v>
      </c>
      <c r="E820">
        <v>0</v>
      </c>
      <c r="F820">
        <v>2</v>
      </c>
      <c r="G820" t="str">
        <f t="shared" si="48"/>
        <v>Feb</v>
      </c>
      <c r="H820">
        <v>22</v>
      </c>
      <c r="I820">
        <f t="shared" si="50"/>
        <v>1</v>
      </c>
      <c r="J820" t="s">
        <v>125</v>
      </c>
      <c r="K820">
        <v>0</v>
      </c>
      <c r="L820" t="str">
        <f t="shared" si="51"/>
        <v>Weekend</v>
      </c>
      <c r="M820">
        <v>1</v>
      </c>
      <c r="N820" t="str" cm="1">
        <f t="array" ref="N820">_xlfn.IFS(M820=1,"Sunny Day",M820=2,"Cloudy Day",M820=3,"Rainy Day",M820=4,"Heavy Rain")</f>
        <v>Sunny Day</v>
      </c>
      <c r="O820">
        <v>0.26</v>
      </c>
      <c r="P820">
        <v>0.30299999999999999</v>
      </c>
      <c r="Q820">
        <v>0.6</v>
      </c>
      <c r="R820">
        <v>0</v>
      </c>
      <c r="S820">
        <v>5</v>
      </c>
      <c r="T820">
        <v>57</v>
      </c>
      <c r="U820">
        <v>62</v>
      </c>
    </row>
    <row r="821" spans="1:21" x14ac:dyDescent="0.3">
      <c r="A821">
        <v>829</v>
      </c>
      <c r="B821" t="s">
        <v>79</v>
      </c>
      <c r="C821" t="str">
        <f t="shared" si="49"/>
        <v>06-Feb-2011</v>
      </c>
      <c r="D821">
        <v>1</v>
      </c>
      <c r="E821">
        <v>0</v>
      </c>
      <c r="F821">
        <v>2</v>
      </c>
      <c r="G821" t="str">
        <f t="shared" si="48"/>
        <v>Feb</v>
      </c>
      <c r="H821">
        <v>23</v>
      </c>
      <c r="I821">
        <f t="shared" si="50"/>
        <v>1</v>
      </c>
      <c r="J821" t="s">
        <v>125</v>
      </c>
      <c r="K821">
        <v>0</v>
      </c>
      <c r="L821" t="str">
        <f t="shared" si="51"/>
        <v>Weekend</v>
      </c>
      <c r="M821">
        <v>1</v>
      </c>
      <c r="N821" t="str" cm="1">
        <f t="array" ref="N821">_xlfn.IFS(M821=1,"Sunny Day",M821=2,"Cloudy Day",M821=3,"Rainy Day",M821=4,"Heavy Rain")</f>
        <v>Sunny Day</v>
      </c>
      <c r="O821">
        <v>0.24</v>
      </c>
      <c r="P821">
        <v>0.28789999999999999</v>
      </c>
      <c r="Q821">
        <v>0.65</v>
      </c>
      <c r="R821">
        <v>0</v>
      </c>
      <c r="S821">
        <v>4</v>
      </c>
      <c r="T821">
        <v>26</v>
      </c>
      <c r="U821">
        <v>30</v>
      </c>
    </row>
    <row r="822" spans="1:21" x14ac:dyDescent="0.3">
      <c r="A822">
        <v>830</v>
      </c>
      <c r="B822" t="s">
        <v>81</v>
      </c>
      <c r="C822" t="str">
        <f t="shared" si="49"/>
        <v>07-Feb-2011</v>
      </c>
      <c r="D822">
        <v>1</v>
      </c>
      <c r="E822">
        <v>0</v>
      </c>
      <c r="F822">
        <v>2</v>
      </c>
      <c r="G822" t="str">
        <f t="shared" si="48"/>
        <v>Feb</v>
      </c>
      <c r="H822">
        <v>0</v>
      </c>
      <c r="I822">
        <f t="shared" si="50"/>
        <v>0</v>
      </c>
      <c r="J822" t="s">
        <v>126</v>
      </c>
      <c r="K822">
        <v>1</v>
      </c>
      <c r="L822" t="str">
        <f t="shared" si="51"/>
        <v>Weekday</v>
      </c>
      <c r="M822">
        <v>1</v>
      </c>
      <c r="N822" t="str" cm="1">
        <f t="array" ref="N822">_xlfn.IFS(M822=1,"Sunny Day",M822=2,"Cloudy Day",M822=3,"Rainy Day",M822=4,"Heavy Rain")</f>
        <v>Sunny Day</v>
      </c>
      <c r="O822">
        <v>0.24</v>
      </c>
      <c r="P822">
        <v>0.28789999999999999</v>
      </c>
      <c r="Q822">
        <v>0.65</v>
      </c>
      <c r="R822">
        <v>0</v>
      </c>
      <c r="S822">
        <v>1</v>
      </c>
      <c r="T822">
        <v>14</v>
      </c>
      <c r="U822">
        <v>15</v>
      </c>
    </row>
    <row r="823" spans="1:21" x14ac:dyDescent="0.3">
      <c r="A823">
        <v>831</v>
      </c>
      <c r="B823" t="s">
        <v>81</v>
      </c>
      <c r="C823" t="str">
        <f t="shared" si="49"/>
        <v>07-Feb-2011</v>
      </c>
      <c r="D823">
        <v>1</v>
      </c>
      <c r="E823">
        <v>0</v>
      </c>
      <c r="F823">
        <v>2</v>
      </c>
      <c r="G823" t="str">
        <f t="shared" si="48"/>
        <v>Feb</v>
      </c>
      <c r="H823">
        <v>1</v>
      </c>
      <c r="I823">
        <f t="shared" si="50"/>
        <v>0</v>
      </c>
      <c r="J823" t="s">
        <v>126</v>
      </c>
      <c r="K823">
        <v>1</v>
      </c>
      <c r="L823" t="str">
        <f t="shared" si="51"/>
        <v>Weekday</v>
      </c>
      <c r="M823">
        <v>1</v>
      </c>
      <c r="N823" t="str" cm="1">
        <f t="array" ref="N823">_xlfn.IFS(M823=1,"Sunny Day",M823=2,"Cloudy Day",M823=3,"Rainy Day",M823=4,"Heavy Rain")</f>
        <v>Sunny Day</v>
      </c>
      <c r="O823">
        <v>0.22</v>
      </c>
      <c r="P823">
        <v>0.2727</v>
      </c>
      <c r="Q823">
        <v>0.75</v>
      </c>
      <c r="R823">
        <v>0</v>
      </c>
      <c r="S823">
        <v>1</v>
      </c>
      <c r="T823">
        <v>4</v>
      </c>
      <c r="U823">
        <v>5</v>
      </c>
    </row>
    <row r="824" spans="1:21" x14ac:dyDescent="0.3">
      <c r="A824">
        <v>832</v>
      </c>
      <c r="B824" t="s">
        <v>81</v>
      </c>
      <c r="C824" t="str">
        <f t="shared" si="49"/>
        <v>07-Feb-2011</v>
      </c>
      <c r="D824">
        <v>1</v>
      </c>
      <c r="E824">
        <v>0</v>
      </c>
      <c r="F824">
        <v>2</v>
      </c>
      <c r="G824" t="str">
        <f t="shared" si="48"/>
        <v>Feb</v>
      </c>
      <c r="H824">
        <v>2</v>
      </c>
      <c r="I824">
        <f t="shared" si="50"/>
        <v>0</v>
      </c>
      <c r="J824" t="s">
        <v>126</v>
      </c>
      <c r="K824">
        <v>1</v>
      </c>
      <c r="L824" t="str">
        <f t="shared" si="51"/>
        <v>Weekday</v>
      </c>
      <c r="M824">
        <v>1</v>
      </c>
      <c r="N824" t="str" cm="1">
        <f t="array" ref="N824">_xlfn.IFS(M824=1,"Sunny Day",M824=2,"Cloudy Day",M824=3,"Rainy Day",M824=4,"Heavy Rain")</f>
        <v>Sunny Day</v>
      </c>
      <c r="O824">
        <v>0.2</v>
      </c>
      <c r="P824">
        <v>0.2576</v>
      </c>
      <c r="Q824">
        <v>0.8</v>
      </c>
      <c r="R824">
        <v>0</v>
      </c>
      <c r="S824">
        <v>0</v>
      </c>
      <c r="T824">
        <v>3</v>
      </c>
      <c r="U824">
        <v>3</v>
      </c>
    </row>
    <row r="825" spans="1:21" x14ac:dyDescent="0.3">
      <c r="A825">
        <v>833</v>
      </c>
      <c r="B825" t="s">
        <v>81</v>
      </c>
      <c r="C825" t="str">
        <f t="shared" si="49"/>
        <v>07-Feb-2011</v>
      </c>
      <c r="D825">
        <v>1</v>
      </c>
      <c r="E825">
        <v>0</v>
      </c>
      <c r="F825">
        <v>2</v>
      </c>
      <c r="G825" t="str">
        <f t="shared" si="48"/>
        <v>Feb</v>
      </c>
      <c r="H825">
        <v>3</v>
      </c>
      <c r="I825">
        <f t="shared" si="50"/>
        <v>0</v>
      </c>
      <c r="J825" t="s">
        <v>126</v>
      </c>
      <c r="K825">
        <v>1</v>
      </c>
      <c r="L825" t="str">
        <f t="shared" si="51"/>
        <v>Weekday</v>
      </c>
      <c r="M825">
        <v>1</v>
      </c>
      <c r="N825" t="str" cm="1">
        <f t="array" ref="N825">_xlfn.IFS(M825=1,"Sunny Day",M825=2,"Cloudy Day",M825=3,"Rainy Day",M825=4,"Heavy Rain")</f>
        <v>Sunny Day</v>
      </c>
      <c r="O825">
        <v>0.2</v>
      </c>
      <c r="P825">
        <v>0.2576</v>
      </c>
      <c r="Q825">
        <v>0.86</v>
      </c>
      <c r="R825">
        <v>0</v>
      </c>
      <c r="S825">
        <v>0</v>
      </c>
      <c r="T825">
        <v>1</v>
      </c>
      <c r="U825">
        <v>1</v>
      </c>
    </row>
    <row r="826" spans="1:21" x14ac:dyDescent="0.3">
      <c r="A826">
        <v>834</v>
      </c>
      <c r="B826" t="s">
        <v>81</v>
      </c>
      <c r="C826" t="str">
        <f t="shared" si="49"/>
        <v>07-Feb-2011</v>
      </c>
      <c r="D826">
        <v>1</v>
      </c>
      <c r="E826">
        <v>0</v>
      </c>
      <c r="F826">
        <v>2</v>
      </c>
      <c r="G826" t="str">
        <f t="shared" si="48"/>
        <v>Feb</v>
      </c>
      <c r="H826">
        <v>4</v>
      </c>
      <c r="I826">
        <f t="shared" si="50"/>
        <v>0</v>
      </c>
      <c r="J826" t="s">
        <v>126</v>
      </c>
      <c r="K826">
        <v>1</v>
      </c>
      <c r="L826" t="str">
        <f t="shared" si="51"/>
        <v>Weekday</v>
      </c>
      <c r="M826">
        <v>1</v>
      </c>
      <c r="N826" t="str" cm="1">
        <f t="array" ref="N826">_xlfn.IFS(M826=1,"Sunny Day",M826=2,"Cloudy Day",M826=3,"Rainy Day",M826=4,"Heavy Rain")</f>
        <v>Sunny Day</v>
      </c>
      <c r="O826">
        <v>0.2</v>
      </c>
      <c r="P826">
        <v>0.2576</v>
      </c>
      <c r="Q826">
        <v>0.86</v>
      </c>
      <c r="R826">
        <v>0</v>
      </c>
      <c r="S826">
        <v>1</v>
      </c>
      <c r="T826">
        <v>1</v>
      </c>
      <c r="U826">
        <v>2</v>
      </c>
    </row>
    <row r="827" spans="1:21" x14ac:dyDescent="0.3">
      <c r="A827">
        <v>835</v>
      </c>
      <c r="B827" t="s">
        <v>81</v>
      </c>
      <c r="C827" t="str">
        <f t="shared" si="49"/>
        <v>07-Feb-2011</v>
      </c>
      <c r="D827">
        <v>1</v>
      </c>
      <c r="E827">
        <v>0</v>
      </c>
      <c r="F827">
        <v>2</v>
      </c>
      <c r="G827" t="str">
        <f t="shared" si="48"/>
        <v>Feb</v>
      </c>
      <c r="H827">
        <v>5</v>
      </c>
      <c r="I827">
        <f t="shared" si="50"/>
        <v>0</v>
      </c>
      <c r="J827" t="s">
        <v>126</v>
      </c>
      <c r="K827">
        <v>1</v>
      </c>
      <c r="L827" t="str">
        <f t="shared" si="51"/>
        <v>Weekday</v>
      </c>
      <c r="M827">
        <v>1</v>
      </c>
      <c r="N827" t="str" cm="1">
        <f t="array" ref="N827">_xlfn.IFS(M827=1,"Sunny Day",M827=2,"Cloudy Day",M827=3,"Rainy Day",M827=4,"Heavy Rain")</f>
        <v>Sunny Day</v>
      </c>
      <c r="O827">
        <v>0.2</v>
      </c>
      <c r="P827">
        <v>0.2576</v>
      </c>
      <c r="Q827">
        <v>0.86</v>
      </c>
      <c r="R827">
        <v>0</v>
      </c>
      <c r="S827">
        <v>1</v>
      </c>
      <c r="T827">
        <v>9</v>
      </c>
      <c r="U827">
        <v>10</v>
      </c>
    </row>
    <row r="828" spans="1:21" x14ac:dyDescent="0.3">
      <c r="A828">
        <v>836</v>
      </c>
      <c r="B828" t="s">
        <v>81</v>
      </c>
      <c r="C828" t="str">
        <f t="shared" si="49"/>
        <v>07-Feb-2011</v>
      </c>
      <c r="D828">
        <v>1</v>
      </c>
      <c r="E828">
        <v>0</v>
      </c>
      <c r="F828">
        <v>2</v>
      </c>
      <c r="G828" t="str">
        <f t="shared" si="48"/>
        <v>Feb</v>
      </c>
      <c r="H828">
        <v>6</v>
      </c>
      <c r="I828">
        <f t="shared" si="50"/>
        <v>0</v>
      </c>
      <c r="J828" t="s">
        <v>126</v>
      </c>
      <c r="K828">
        <v>1</v>
      </c>
      <c r="L828" t="str">
        <f t="shared" si="51"/>
        <v>Weekday</v>
      </c>
      <c r="M828">
        <v>1</v>
      </c>
      <c r="N828" t="str" cm="1">
        <f t="array" ref="N828">_xlfn.IFS(M828=1,"Sunny Day",M828=2,"Cloudy Day",M828=3,"Rainy Day",M828=4,"Heavy Rain")</f>
        <v>Sunny Day</v>
      </c>
      <c r="O828">
        <v>0.18</v>
      </c>
      <c r="P828">
        <v>0.2424</v>
      </c>
      <c r="Q828">
        <v>0.93</v>
      </c>
      <c r="R828">
        <v>0</v>
      </c>
      <c r="S828">
        <v>1</v>
      </c>
      <c r="T828">
        <v>29</v>
      </c>
      <c r="U828">
        <v>30</v>
      </c>
    </row>
    <row r="829" spans="1:21" x14ac:dyDescent="0.3">
      <c r="A829">
        <v>837</v>
      </c>
      <c r="B829" t="s">
        <v>81</v>
      </c>
      <c r="C829" t="str">
        <f t="shared" si="49"/>
        <v>07-Feb-2011</v>
      </c>
      <c r="D829">
        <v>1</v>
      </c>
      <c r="E829">
        <v>0</v>
      </c>
      <c r="F829">
        <v>2</v>
      </c>
      <c r="G829" t="str">
        <f t="shared" si="48"/>
        <v>Feb</v>
      </c>
      <c r="H829">
        <v>7</v>
      </c>
      <c r="I829">
        <f t="shared" si="50"/>
        <v>0</v>
      </c>
      <c r="J829" t="s">
        <v>126</v>
      </c>
      <c r="K829">
        <v>1</v>
      </c>
      <c r="L829" t="str">
        <f t="shared" si="51"/>
        <v>Weekday</v>
      </c>
      <c r="M829">
        <v>1</v>
      </c>
      <c r="N829" t="str" cm="1">
        <f t="array" ref="N829">_xlfn.IFS(M829=1,"Sunny Day",M829=2,"Cloudy Day",M829=3,"Rainy Day",M829=4,"Heavy Rain")</f>
        <v>Sunny Day</v>
      </c>
      <c r="O829">
        <v>0.18</v>
      </c>
      <c r="P829">
        <v>0.2424</v>
      </c>
      <c r="Q829">
        <v>0.86</v>
      </c>
      <c r="R829">
        <v>0</v>
      </c>
      <c r="S829">
        <v>6</v>
      </c>
      <c r="T829">
        <v>89</v>
      </c>
      <c r="U829">
        <v>95</v>
      </c>
    </row>
    <row r="830" spans="1:21" x14ac:dyDescent="0.3">
      <c r="A830">
        <v>838</v>
      </c>
      <c r="B830" t="s">
        <v>81</v>
      </c>
      <c r="C830" t="str">
        <f t="shared" si="49"/>
        <v>07-Feb-2011</v>
      </c>
      <c r="D830">
        <v>1</v>
      </c>
      <c r="E830">
        <v>0</v>
      </c>
      <c r="F830">
        <v>2</v>
      </c>
      <c r="G830" t="str">
        <f t="shared" si="48"/>
        <v>Feb</v>
      </c>
      <c r="H830">
        <v>8</v>
      </c>
      <c r="I830">
        <f t="shared" si="50"/>
        <v>0</v>
      </c>
      <c r="J830" t="s">
        <v>126</v>
      </c>
      <c r="K830">
        <v>1</v>
      </c>
      <c r="L830" t="str">
        <f t="shared" si="51"/>
        <v>Weekday</v>
      </c>
      <c r="M830">
        <v>2</v>
      </c>
      <c r="N830" t="str" cm="1">
        <f t="array" ref="N830">_xlfn.IFS(M830=1,"Sunny Day",M830=2,"Cloudy Day",M830=3,"Rainy Day",M830=4,"Heavy Rain")</f>
        <v>Cloudy Day</v>
      </c>
      <c r="O830">
        <v>0.16</v>
      </c>
      <c r="P830">
        <v>0.2273</v>
      </c>
      <c r="Q830">
        <v>1</v>
      </c>
      <c r="R830">
        <v>0</v>
      </c>
      <c r="S830">
        <v>7</v>
      </c>
      <c r="T830">
        <v>223</v>
      </c>
      <c r="U830">
        <v>230</v>
      </c>
    </row>
    <row r="831" spans="1:21" x14ac:dyDescent="0.3">
      <c r="A831">
        <v>839</v>
      </c>
      <c r="B831" t="s">
        <v>81</v>
      </c>
      <c r="C831" t="str">
        <f t="shared" si="49"/>
        <v>07-Feb-2011</v>
      </c>
      <c r="D831">
        <v>1</v>
      </c>
      <c r="E831">
        <v>0</v>
      </c>
      <c r="F831">
        <v>2</v>
      </c>
      <c r="G831" t="str">
        <f t="shared" si="48"/>
        <v>Feb</v>
      </c>
      <c r="H831">
        <v>9</v>
      </c>
      <c r="I831">
        <f t="shared" si="50"/>
        <v>0</v>
      </c>
      <c r="J831" t="s">
        <v>126</v>
      </c>
      <c r="K831">
        <v>1</v>
      </c>
      <c r="L831" t="str">
        <f t="shared" si="51"/>
        <v>Weekday</v>
      </c>
      <c r="M831">
        <v>1</v>
      </c>
      <c r="N831" t="str" cm="1">
        <f t="array" ref="N831">_xlfn.IFS(M831=1,"Sunny Day",M831=2,"Cloudy Day",M831=3,"Rainy Day",M831=4,"Heavy Rain")</f>
        <v>Sunny Day</v>
      </c>
      <c r="O831">
        <v>0.22</v>
      </c>
      <c r="P831">
        <v>0.2727</v>
      </c>
      <c r="Q831">
        <v>0.8</v>
      </c>
      <c r="R831">
        <v>0</v>
      </c>
      <c r="S831">
        <v>3</v>
      </c>
      <c r="T831">
        <v>115</v>
      </c>
      <c r="U831">
        <v>118</v>
      </c>
    </row>
    <row r="832" spans="1:21" x14ac:dyDescent="0.3">
      <c r="A832">
        <v>840</v>
      </c>
      <c r="B832" t="s">
        <v>81</v>
      </c>
      <c r="C832" t="str">
        <f t="shared" si="49"/>
        <v>07-Feb-2011</v>
      </c>
      <c r="D832">
        <v>1</v>
      </c>
      <c r="E832">
        <v>0</v>
      </c>
      <c r="F832">
        <v>2</v>
      </c>
      <c r="G832" t="str">
        <f t="shared" si="48"/>
        <v>Feb</v>
      </c>
      <c r="H832">
        <v>10</v>
      </c>
      <c r="I832">
        <f t="shared" si="50"/>
        <v>0</v>
      </c>
      <c r="J832" t="s">
        <v>126</v>
      </c>
      <c r="K832">
        <v>1</v>
      </c>
      <c r="L832" t="str">
        <f t="shared" si="51"/>
        <v>Weekday</v>
      </c>
      <c r="M832">
        <v>1</v>
      </c>
      <c r="N832" t="str" cm="1">
        <f t="array" ref="N832">_xlfn.IFS(M832=1,"Sunny Day",M832=2,"Cloudy Day",M832=3,"Rainy Day",M832=4,"Heavy Rain")</f>
        <v>Sunny Day</v>
      </c>
      <c r="O832">
        <v>0.24</v>
      </c>
      <c r="P832">
        <v>0.2576</v>
      </c>
      <c r="Q832">
        <v>0.75</v>
      </c>
      <c r="R832">
        <v>0.1045</v>
      </c>
      <c r="S832">
        <v>6</v>
      </c>
      <c r="T832">
        <v>49</v>
      </c>
      <c r="U832">
        <v>55</v>
      </c>
    </row>
    <row r="833" spans="1:21" x14ac:dyDescent="0.3">
      <c r="A833">
        <v>841</v>
      </c>
      <c r="B833" t="s">
        <v>81</v>
      </c>
      <c r="C833" t="str">
        <f t="shared" si="49"/>
        <v>07-Feb-2011</v>
      </c>
      <c r="D833">
        <v>1</v>
      </c>
      <c r="E833">
        <v>0</v>
      </c>
      <c r="F833">
        <v>2</v>
      </c>
      <c r="G833" t="str">
        <f t="shared" si="48"/>
        <v>Feb</v>
      </c>
      <c r="H833">
        <v>11</v>
      </c>
      <c r="I833">
        <f t="shared" si="50"/>
        <v>1</v>
      </c>
      <c r="J833" t="s">
        <v>126</v>
      </c>
      <c r="K833">
        <v>1</v>
      </c>
      <c r="L833" t="str">
        <f t="shared" si="51"/>
        <v>Weekday</v>
      </c>
      <c r="M833">
        <v>1</v>
      </c>
      <c r="N833" t="str" cm="1">
        <f t="array" ref="N833">_xlfn.IFS(M833=1,"Sunny Day",M833=2,"Cloudy Day",M833=3,"Rainy Day",M833=4,"Heavy Rain")</f>
        <v>Sunny Day</v>
      </c>
      <c r="O833">
        <v>0.3</v>
      </c>
      <c r="P833">
        <v>0.31819999999999998</v>
      </c>
      <c r="Q833">
        <v>0.65</v>
      </c>
      <c r="R833">
        <v>8.9599999999999999E-2</v>
      </c>
      <c r="S833">
        <v>11</v>
      </c>
      <c r="T833">
        <v>36</v>
      </c>
      <c r="U833">
        <v>47</v>
      </c>
    </row>
    <row r="834" spans="1:21" x14ac:dyDescent="0.3">
      <c r="A834">
        <v>842</v>
      </c>
      <c r="B834" t="s">
        <v>81</v>
      </c>
      <c r="C834" t="str">
        <f t="shared" si="49"/>
        <v>07-Feb-2011</v>
      </c>
      <c r="D834">
        <v>1</v>
      </c>
      <c r="E834">
        <v>0</v>
      </c>
      <c r="F834">
        <v>2</v>
      </c>
      <c r="G834" t="str">
        <f t="shared" ref="G834:G897" si="52">TEXT(C834,"mmm")</f>
        <v>Feb</v>
      </c>
      <c r="H834">
        <v>12</v>
      </c>
      <c r="I834">
        <f t="shared" si="50"/>
        <v>1</v>
      </c>
      <c r="J834" t="s">
        <v>126</v>
      </c>
      <c r="K834">
        <v>1</v>
      </c>
      <c r="L834" t="str">
        <f t="shared" si="51"/>
        <v>Weekday</v>
      </c>
      <c r="M834">
        <v>2</v>
      </c>
      <c r="N834" t="str" cm="1">
        <f t="array" ref="N834">_xlfn.IFS(M834=1,"Sunny Day",M834=2,"Cloudy Day",M834=3,"Rainy Day",M834=4,"Heavy Rain")</f>
        <v>Cloudy Day</v>
      </c>
      <c r="O834">
        <v>0.32</v>
      </c>
      <c r="P834">
        <v>0.34849999999999998</v>
      </c>
      <c r="Q834">
        <v>0.62</v>
      </c>
      <c r="R834">
        <v>0</v>
      </c>
      <c r="S834">
        <v>7</v>
      </c>
      <c r="T834">
        <v>59</v>
      </c>
      <c r="U834">
        <v>66</v>
      </c>
    </row>
    <row r="835" spans="1:21" x14ac:dyDescent="0.3">
      <c r="A835">
        <v>843</v>
      </c>
      <c r="B835" t="s">
        <v>81</v>
      </c>
      <c r="C835" t="str">
        <f t="shared" ref="C835:C898" si="53">TEXT(DATEVALUE(B835),"dd-mmm-yyyy")</f>
        <v>07-Feb-2011</v>
      </c>
      <c r="D835">
        <v>1</v>
      </c>
      <c r="E835">
        <v>0</v>
      </c>
      <c r="F835">
        <v>2</v>
      </c>
      <c r="G835" t="str">
        <f t="shared" si="52"/>
        <v>Feb</v>
      </c>
      <c r="H835">
        <v>13</v>
      </c>
      <c r="I835">
        <f t="shared" ref="I835:I898" si="54">IF(AND(H835&gt;=0,H835&lt;=10),0,1)</f>
        <v>1</v>
      </c>
      <c r="J835" t="s">
        <v>126</v>
      </c>
      <c r="K835">
        <v>1</v>
      </c>
      <c r="L835" t="str">
        <f t="shared" ref="L835:L898" si="55">IF(AND(K835&gt;=1,K835&lt;=5),"Weekday","Weekend")</f>
        <v>Weekday</v>
      </c>
      <c r="M835">
        <v>2</v>
      </c>
      <c r="N835" t="str" cm="1">
        <f t="array" ref="N835">_xlfn.IFS(M835=1,"Sunny Day",M835=2,"Cloudy Day",M835=3,"Rainy Day",M835=4,"Heavy Rain")</f>
        <v>Cloudy Day</v>
      </c>
      <c r="O835">
        <v>0.36</v>
      </c>
      <c r="P835">
        <v>0.36359999999999998</v>
      </c>
      <c r="Q835">
        <v>0.56999999999999995</v>
      </c>
      <c r="R835">
        <v>8.9599999999999999E-2</v>
      </c>
      <c r="S835">
        <v>10</v>
      </c>
      <c r="T835">
        <v>54</v>
      </c>
      <c r="U835">
        <v>64</v>
      </c>
    </row>
    <row r="836" spans="1:21" x14ac:dyDescent="0.3">
      <c r="A836">
        <v>844</v>
      </c>
      <c r="B836" t="s">
        <v>81</v>
      </c>
      <c r="C836" t="str">
        <f t="shared" si="53"/>
        <v>07-Feb-2011</v>
      </c>
      <c r="D836">
        <v>1</v>
      </c>
      <c r="E836">
        <v>0</v>
      </c>
      <c r="F836">
        <v>2</v>
      </c>
      <c r="G836" t="str">
        <f t="shared" si="52"/>
        <v>Feb</v>
      </c>
      <c r="H836">
        <v>14</v>
      </c>
      <c r="I836">
        <f t="shared" si="54"/>
        <v>1</v>
      </c>
      <c r="J836" t="s">
        <v>126</v>
      </c>
      <c r="K836">
        <v>1</v>
      </c>
      <c r="L836" t="str">
        <f t="shared" si="55"/>
        <v>Weekday</v>
      </c>
      <c r="M836">
        <v>2</v>
      </c>
      <c r="N836" t="str" cm="1">
        <f t="array" ref="N836">_xlfn.IFS(M836=1,"Sunny Day",M836=2,"Cloudy Day",M836=3,"Rainy Day",M836=4,"Heavy Rain")</f>
        <v>Cloudy Day</v>
      </c>
      <c r="O836">
        <v>0.36</v>
      </c>
      <c r="P836">
        <v>0.36359999999999998</v>
      </c>
      <c r="Q836">
        <v>0.56999999999999995</v>
      </c>
      <c r="R836">
        <v>8.9599999999999999E-2</v>
      </c>
      <c r="S836">
        <v>8</v>
      </c>
      <c r="T836">
        <v>52</v>
      </c>
      <c r="U836">
        <v>60</v>
      </c>
    </row>
    <row r="837" spans="1:21" x14ac:dyDescent="0.3">
      <c r="A837">
        <v>845</v>
      </c>
      <c r="B837" t="s">
        <v>81</v>
      </c>
      <c r="C837" t="str">
        <f t="shared" si="53"/>
        <v>07-Feb-2011</v>
      </c>
      <c r="D837">
        <v>1</v>
      </c>
      <c r="E837">
        <v>0</v>
      </c>
      <c r="F837">
        <v>2</v>
      </c>
      <c r="G837" t="str">
        <f t="shared" si="52"/>
        <v>Feb</v>
      </c>
      <c r="H837">
        <v>15</v>
      </c>
      <c r="I837">
        <f t="shared" si="54"/>
        <v>1</v>
      </c>
      <c r="J837" t="s">
        <v>126</v>
      </c>
      <c r="K837">
        <v>1</v>
      </c>
      <c r="L837" t="str">
        <f t="shared" si="55"/>
        <v>Weekday</v>
      </c>
      <c r="M837">
        <v>2</v>
      </c>
      <c r="N837" t="str" cm="1">
        <f t="array" ref="N837">_xlfn.IFS(M837=1,"Sunny Day",M837=2,"Cloudy Day",M837=3,"Rainy Day",M837=4,"Heavy Rain")</f>
        <v>Cloudy Day</v>
      </c>
      <c r="O837">
        <v>0.38</v>
      </c>
      <c r="P837">
        <v>0.39389999999999997</v>
      </c>
      <c r="Q837">
        <v>0.54</v>
      </c>
      <c r="R837">
        <v>8.9599999999999999E-2</v>
      </c>
      <c r="S837">
        <v>4</v>
      </c>
      <c r="T837">
        <v>46</v>
      </c>
      <c r="U837">
        <v>50</v>
      </c>
    </row>
    <row r="838" spans="1:21" x14ac:dyDescent="0.3">
      <c r="A838">
        <v>846</v>
      </c>
      <c r="B838" t="s">
        <v>81</v>
      </c>
      <c r="C838" t="str">
        <f t="shared" si="53"/>
        <v>07-Feb-2011</v>
      </c>
      <c r="D838">
        <v>1</v>
      </c>
      <c r="E838">
        <v>0</v>
      </c>
      <c r="F838">
        <v>2</v>
      </c>
      <c r="G838" t="str">
        <f t="shared" si="52"/>
        <v>Feb</v>
      </c>
      <c r="H838">
        <v>16</v>
      </c>
      <c r="I838">
        <f t="shared" si="54"/>
        <v>1</v>
      </c>
      <c r="J838" t="s">
        <v>126</v>
      </c>
      <c r="K838">
        <v>1</v>
      </c>
      <c r="L838" t="str">
        <f t="shared" si="55"/>
        <v>Weekday</v>
      </c>
      <c r="M838">
        <v>2</v>
      </c>
      <c r="N838" t="str" cm="1">
        <f t="array" ref="N838">_xlfn.IFS(M838=1,"Sunny Day",M838=2,"Cloudy Day",M838=3,"Rainy Day",M838=4,"Heavy Rain")</f>
        <v>Cloudy Day</v>
      </c>
      <c r="O838">
        <v>0.36</v>
      </c>
      <c r="P838">
        <v>0.34849999999999998</v>
      </c>
      <c r="Q838">
        <v>0.56999999999999995</v>
      </c>
      <c r="R838">
        <v>0.1343</v>
      </c>
      <c r="S838">
        <v>16</v>
      </c>
      <c r="T838">
        <v>98</v>
      </c>
      <c r="U838">
        <v>114</v>
      </c>
    </row>
    <row r="839" spans="1:21" x14ac:dyDescent="0.3">
      <c r="A839">
        <v>847</v>
      </c>
      <c r="B839" t="s">
        <v>81</v>
      </c>
      <c r="C839" t="str">
        <f t="shared" si="53"/>
        <v>07-Feb-2011</v>
      </c>
      <c r="D839">
        <v>1</v>
      </c>
      <c r="E839">
        <v>0</v>
      </c>
      <c r="F839">
        <v>2</v>
      </c>
      <c r="G839" t="str">
        <f t="shared" si="52"/>
        <v>Feb</v>
      </c>
      <c r="H839">
        <v>17</v>
      </c>
      <c r="I839">
        <f t="shared" si="54"/>
        <v>1</v>
      </c>
      <c r="J839" t="s">
        <v>126</v>
      </c>
      <c r="K839">
        <v>1</v>
      </c>
      <c r="L839" t="str">
        <f t="shared" si="55"/>
        <v>Weekday</v>
      </c>
      <c r="M839">
        <v>2</v>
      </c>
      <c r="N839" t="str" cm="1">
        <f t="array" ref="N839">_xlfn.IFS(M839=1,"Sunny Day",M839=2,"Cloudy Day",M839=3,"Rainy Day",M839=4,"Heavy Rain")</f>
        <v>Cloudy Day</v>
      </c>
      <c r="O839">
        <v>0.32</v>
      </c>
      <c r="P839">
        <v>0.31819999999999998</v>
      </c>
      <c r="Q839">
        <v>0.7</v>
      </c>
      <c r="R839">
        <v>0.16420000000000001</v>
      </c>
      <c r="S839">
        <v>9</v>
      </c>
      <c r="T839">
        <v>207</v>
      </c>
      <c r="U839">
        <v>216</v>
      </c>
    </row>
    <row r="840" spans="1:21" x14ac:dyDescent="0.3">
      <c r="A840">
        <v>848</v>
      </c>
      <c r="B840" t="s">
        <v>81</v>
      </c>
      <c r="C840" t="str">
        <f t="shared" si="53"/>
        <v>07-Feb-2011</v>
      </c>
      <c r="D840">
        <v>1</v>
      </c>
      <c r="E840">
        <v>0</v>
      </c>
      <c r="F840">
        <v>2</v>
      </c>
      <c r="G840" t="str">
        <f t="shared" si="52"/>
        <v>Feb</v>
      </c>
      <c r="H840">
        <v>18</v>
      </c>
      <c r="I840">
        <f t="shared" si="54"/>
        <v>1</v>
      </c>
      <c r="J840" t="s">
        <v>126</v>
      </c>
      <c r="K840">
        <v>1</v>
      </c>
      <c r="L840" t="str">
        <f t="shared" si="55"/>
        <v>Weekday</v>
      </c>
      <c r="M840">
        <v>2</v>
      </c>
      <c r="N840" t="str" cm="1">
        <f t="array" ref="N840">_xlfn.IFS(M840=1,"Sunny Day",M840=2,"Cloudy Day",M840=3,"Rainy Day",M840=4,"Heavy Rain")</f>
        <v>Cloudy Day</v>
      </c>
      <c r="O840">
        <v>0.34</v>
      </c>
      <c r="P840">
        <v>0.33329999999999999</v>
      </c>
      <c r="Q840">
        <v>0.66</v>
      </c>
      <c r="R840">
        <v>0.1343</v>
      </c>
      <c r="S840">
        <v>5</v>
      </c>
      <c r="T840">
        <v>170</v>
      </c>
      <c r="U840">
        <v>175</v>
      </c>
    </row>
    <row r="841" spans="1:21" x14ac:dyDescent="0.3">
      <c r="A841">
        <v>849</v>
      </c>
      <c r="B841" t="s">
        <v>81</v>
      </c>
      <c r="C841" t="str">
        <f t="shared" si="53"/>
        <v>07-Feb-2011</v>
      </c>
      <c r="D841">
        <v>1</v>
      </c>
      <c r="E841">
        <v>0</v>
      </c>
      <c r="F841">
        <v>2</v>
      </c>
      <c r="G841" t="str">
        <f t="shared" si="52"/>
        <v>Feb</v>
      </c>
      <c r="H841">
        <v>19</v>
      </c>
      <c r="I841">
        <f t="shared" si="54"/>
        <v>1</v>
      </c>
      <c r="J841" t="s">
        <v>126</v>
      </c>
      <c r="K841">
        <v>1</v>
      </c>
      <c r="L841" t="str">
        <f t="shared" si="55"/>
        <v>Weekday</v>
      </c>
      <c r="M841">
        <v>2</v>
      </c>
      <c r="N841" t="str" cm="1">
        <f t="array" ref="N841">_xlfn.IFS(M841=1,"Sunny Day",M841=2,"Cloudy Day",M841=3,"Rainy Day",M841=4,"Heavy Rain")</f>
        <v>Cloudy Day</v>
      </c>
      <c r="O841">
        <v>0.32</v>
      </c>
      <c r="P841">
        <v>0.34849999999999998</v>
      </c>
      <c r="Q841">
        <v>0.7</v>
      </c>
      <c r="R841">
        <v>0</v>
      </c>
      <c r="S841">
        <v>5</v>
      </c>
      <c r="T841">
        <v>123</v>
      </c>
      <c r="U841">
        <v>128</v>
      </c>
    </row>
    <row r="842" spans="1:21" x14ac:dyDescent="0.3">
      <c r="A842">
        <v>850</v>
      </c>
      <c r="B842" t="s">
        <v>81</v>
      </c>
      <c r="C842" t="str">
        <f t="shared" si="53"/>
        <v>07-Feb-2011</v>
      </c>
      <c r="D842">
        <v>1</v>
      </c>
      <c r="E842">
        <v>0</v>
      </c>
      <c r="F842">
        <v>2</v>
      </c>
      <c r="G842" t="str">
        <f t="shared" si="52"/>
        <v>Feb</v>
      </c>
      <c r="H842">
        <v>20</v>
      </c>
      <c r="I842">
        <f t="shared" si="54"/>
        <v>1</v>
      </c>
      <c r="J842" t="s">
        <v>126</v>
      </c>
      <c r="K842">
        <v>1</v>
      </c>
      <c r="L842" t="str">
        <f t="shared" si="55"/>
        <v>Weekday</v>
      </c>
      <c r="M842">
        <v>2</v>
      </c>
      <c r="N842" t="str" cm="1">
        <f t="array" ref="N842">_xlfn.IFS(M842=1,"Sunny Day",M842=2,"Cloudy Day",M842=3,"Rainy Day",M842=4,"Heavy Rain")</f>
        <v>Cloudy Day</v>
      </c>
      <c r="O842">
        <v>0.32</v>
      </c>
      <c r="P842">
        <v>0.33329999999999999</v>
      </c>
      <c r="Q842">
        <v>0.7</v>
      </c>
      <c r="R842">
        <v>0.1045</v>
      </c>
      <c r="S842">
        <v>6</v>
      </c>
      <c r="T842">
        <v>82</v>
      </c>
      <c r="U842">
        <v>88</v>
      </c>
    </row>
    <row r="843" spans="1:21" x14ac:dyDescent="0.3">
      <c r="A843">
        <v>851</v>
      </c>
      <c r="B843" t="s">
        <v>81</v>
      </c>
      <c r="C843" t="str">
        <f t="shared" si="53"/>
        <v>07-Feb-2011</v>
      </c>
      <c r="D843">
        <v>1</v>
      </c>
      <c r="E843">
        <v>0</v>
      </c>
      <c r="F843">
        <v>2</v>
      </c>
      <c r="G843" t="str">
        <f t="shared" si="52"/>
        <v>Feb</v>
      </c>
      <c r="H843">
        <v>21</v>
      </c>
      <c r="I843">
        <f t="shared" si="54"/>
        <v>1</v>
      </c>
      <c r="J843" t="s">
        <v>126</v>
      </c>
      <c r="K843">
        <v>1</v>
      </c>
      <c r="L843" t="str">
        <f t="shared" si="55"/>
        <v>Weekday</v>
      </c>
      <c r="M843">
        <v>1</v>
      </c>
      <c r="N843" t="str" cm="1">
        <f t="array" ref="N843">_xlfn.IFS(M843=1,"Sunny Day",M843=2,"Cloudy Day",M843=3,"Rainy Day",M843=4,"Heavy Rain")</f>
        <v>Sunny Day</v>
      </c>
      <c r="O843">
        <v>0.32</v>
      </c>
      <c r="P843">
        <v>0.34849999999999998</v>
      </c>
      <c r="Q843">
        <v>0.7</v>
      </c>
      <c r="R843">
        <v>0</v>
      </c>
      <c r="S843">
        <v>3</v>
      </c>
      <c r="T843">
        <v>75</v>
      </c>
      <c r="U843">
        <v>78</v>
      </c>
    </row>
    <row r="844" spans="1:21" x14ac:dyDescent="0.3">
      <c r="A844">
        <v>852</v>
      </c>
      <c r="B844" t="s">
        <v>81</v>
      </c>
      <c r="C844" t="str">
        <f t="shared" si="53"/>
        <v>07-Feb-2011</v>
      </c>
      <c r="D844">
        <v>1</v>
      </c>
      <c r="E844">
        <v>0</v>
      </c>
      <c r="F844">
        <v>2</v>
      </c>
      <c r="G844" t="str">
        <f t="shared" si="52"/>
        <v>Feb</v>
      </c>
      <c r="H844">
        <v>22</v>
      </c>
      <c r="I844">
        <f t="shared" si="54"/>
        <v>1</v>
      </c>
      <c r="J844" t="s">
        <v>126</v>
      </c>
      <c r="K844">
        <v>1</v>
      </c>
      <c r="L844" t="str">
        <f t="shared" si="55"/>
        <v>Weekday</v>
      </c>
      <c r="M844">
        <v>1</v>
      </c>
      <c r="N844" t="str" cm="1">
        <f t="array" ref="N844">_xlfn.IFS(M844=1,"Sunny Day",M844=2,"Cloudy Day",M844=3,"Rainy Day",M844=4,"Heavy Rain")</f>
        <v>Sunny Day</v>
      </c>
      <c r="O844">
        <v>0.28000000000000003</v>
      </c>
      <c r="P844">
        <v>0.30299999999999999</v>
      </c>
      <c r="Q844">
        <v>0.81</v>
      </c>
      <c r="R844">
        <v>8.9599999999999999E-2</v>
      </c>
      <c r="S844">
        <v>3</v>
      </c>
      <c r="T844">
        <v>34</v>
      </c>
      <c r="U844">
        <v>37</v>
      </c>
    </row>
    <row r="845" spans="1:21" x14ac:dyDescent="0.3">
      <c r="A845">
        <v>853</v>
      </c>
      <c r="B845" t="s">
        <v>81</v>
      </c>
      <c r="C845" t="str">
        <f t="shared" si="53"/>
        <v>07-Feb-2011</v>
      </c>
      <c r="D845">
        <v>1</v>
      </c>
      <c r="E845">
        <v>0</v>
      </c>
      <c r="F845">
        <v>2</v>
      </c>
      <c r="G845" t="str">
        <f t="shared" si="52"/>
        <v>Feb</v>
      </c>
      <c r="H845">
        <v>23</v>
      </c>
      <c r="I845">
        <f t="shared" si="54"/>
        <v>1</v>
      </c>
      <c r="J845" t="s">
        <v>126</v>
      </c>
      <c r="K845">
        <v>1</v>
      </c>
      <c r="L845" t="str">
        <f t="shared" si="55"/>
        <v>Weekday</v>
      </c>
      <c r="M845">
        <v>2</v>
      </c>
      <c r="N845" t="str" cm="1">
        <f t="array" ref="N845">_xlfn.IFS(M845=1,"Sunny Day",M845=2,"Cloudy Day",M845=3,"Rainy Day",M845=4,"Heavy Rain")</f>
        <v>Cloudy Day</v>
      </c>
      <c r="O845">
        <v>0.3</v>
      </c>
      <c r="P845">
        <v>0.33329999999999999</v>
      </c>
      <c r="Q845">
        <v>0.81</v>
      </c>
      <c r="R845">
        <v>0</v>
      </c>
      <c r="S845">
        <v>6</v>
      </c>
      <c r="T845">
        <v>19</v>
      </c>
      <c r="U845">
        <v>25</v>
      </c>
    </row>
    <row r="846" spans="1:21" x14ac:dyDescent="0.3">
      <c r="A846">
        <v>854</v>
      </c>
      <c r="B846" t="s">
        <v>83</v>
      </c>
      <c r="C846" t="str">
        <f t="shared" si="53"/>
        <v>08-Feb-2011</v>
      </c>
      <c r="D846">
        <v>1</v>
      </c>
      <c r="E846">
        <v>0</v>
      </c>
      <c r="F846">
        <v>2</v>
      </c>
      <c r="G846" t="str">
        <f t="shared" si="52"/>
        <v>Feb</v>
      </c>
      <c r="H846">
        <v>0</v>
      </c>
      <c r="I846">
        <f t="shared" si="54"/>
        <v>0</v>
      </c>
      <c r="J846" t="s">
        <v>126</v>
      </c>
      <c r="K846">
        <v>2</v>
      </c>
      <c r="L846" t="str">
        <f t="shared" si="55"/>
        <v>Weekday</v>
      </c>
      <c r="M846">
        <v>2</v>
      </c>
      <c r="N846" t="str" cm="1">
        <f t="array" ref="N846">_xlfn.IFS(M846=1,"Sunny Day",M846=2,"Cloudy Day",M846=3,"Rainy Day",M846=4,"Heavy Rain")</f>
        <v>Cloudy Day</v>
      </c>
      <c r="O846">
        <v>0.28000000000000003</v>
      </c>
      <c r="P846">
        <v>0.31819999999999998</v>
      </c>
      <c r="Q846">
        <v>0.87</v>
      </c>
      <c r="R846">
        <v>0</v>
      </c>
      <c r="S846">
        <v>4</v>
      </c>
      <c r="T846">
        <v>6</v>
      </c>
      <c r="U846">
        <v>10</v>
      </c>
    </row>
    <row r="847" spans="1:21" x14ac:dyDescent="0.3">
      <c r="A847">
        <v>855</v>
      </c>
      <c r="B847" t="s">
        <v>83</v>
      </c>
      <c r="C847" t="str">
        <f t="shared" si="53"/>
        <v>08-Feb-2011</v>
      </c>
      <c r="D847">
        <v>1</v>
      </c>
      <c r="E847">
        <v>0</v>
      </c>
      <c r="F847">
        <v>2</v>
      </c>
      <c r="G847" t="str">
        <f t="shared" si="52"/>
        <v>Feb</v>
      </c>
      <c r="H847">
        <v>1</v>
      </c>
      <c r="I847">
        <f t="shared" si="54"/>
        <v>0</v>
      </c>
      <c r="J847" t="s">
        <v>126</v>
      </c>
      <c r="K847">
        <v>2</v>
      </c>
      <c r="L847" t="str">
        <f t="shared" si="55"/>
        <v>Weekday</v>
      </c>
      <c r="M847">
        <v>2</v>
      </c>
      <c r="N847" t="str" cm="1">
        <f t="array" ref="N847">_xlfn.IFS(M847=1,"Sunny Day",M847=2,"Cloudy Day",M847=3,"Rainy Day",M847=4,"Heavy Rain")</f>
        <v>Cloudy Day</v>
      </c>
      <c r="O847">
        <v>0.28000000000000003</v>
      </c>
      <c r="P847">
        <v>0.31819999999999998</v>
      </c>
      <c r="Q847">
        <v>0.87</v>
      </c>
      <c r="R847">
        <v>0</v>
      </c>
      <c r="S847">
        <v>0</v>
      </c>
      <c r="T847">
        <v>4</v>
      </c>
      <c r="U847">
        <v>4</v>
      </c>
    </row>
    <row r="848" spans="1:21" x14ac:dyDescent="0.3">
      <c r="A848">
        <v>856</v>
      </c>
      <c r="B848" t="s">
        <v>83</v>
      </c>
      <c r="C848" t="str">
        <f t="shared" si="53"/>
        <v>08-Feb-2011</v>
      </c>
      <c r="D848">
        <v>1</v>
      </c>
      <c r="E848">
        <v>0</v>
      </c>
      <c r="F848">
        <v>2</v>
      </c>
      <c r="G848" t="str">
        <f t="shared" si="52"/>
        <v>Feb</v>
      </c>
      <c r="H848">
        <v>2</v>
      </c>
      <c r="I848">
        <f t="shared" si="54"/>
        <v>0</v>
      </c>
      <c r="J848" t="s">
        <v>126</v>
      </c>
      <c r="K848">
        <v>2</v>
      </c>
      <c r="L848" t="str">
        <f t="shared" si="55"/>
        <v>Weekday</v>
      </c>
      <c r="M848">
        <v>2</v>
      </c>
      <c r="N848" t="str" cm="1">
        <f t="array" ref="N848">_xlfn.IFS(M848=1,"Sunny Day",M848=2,"Cloudy Day",M848=3,"Rainy Day",M848=4,"Heavy Rain")</f>
        <v>Cloudy Day</v>
      </c>
      <c r="O848">
        <v>0.26</v>
      </c>
      <c r="P848">
        <v>0.2727</v>
      </c>
      <c r="Q848">
        <v>0.93</v>
      </c>
      <c r="R848">
        <v>0.1045</v>
      </c>
      <c r="S848">
        <v>1</v>
      </c>
      <c r="T848">
        <v>1</v>
      </c>
      <c r="U848">
        <v>2</v>
      </c>
    </row>
    <row r="849" spans="1:21" x14ac:dyDescent="0.3">
      <c r="A849">
        <v>857</v>
      </c>
      <c r="B849" t="s">
        <v>83</v>
      </c>
      <c r="C849" t="str">
        <f t="shared" si="53"/>
        <v>08-Feb-2011</v>
      </c>
      <c r="D849">
        <v>1</v>
      </c>
      <c r="E849">
        <v>0</v>
      </c>
      <c r="F849">
        <v>2</v>
      </c>
      <c r="G849" t="str">
        <f t="shared" si="52"/>
        <v>Feb</v>
      </c>
      <c r="H849">
        <v>3</v>
      </c>
      <c r="I849">
        <f t="shared" si="54"/>
        <v>0</v>
      </c>
      <c r="J849" t="s">
        <v>126</v>
      </c>
      <c r="K849">
        <v>2</v>
      </c>
      <c r="L849" t="str">
        <f t="shared" si="55"/>
        <v>Weekday</v>
      </c>
      <c r="M849">
        <v>3</v>
      </c>
      <c r="N849" t="str" cm="1">
        <f t="array" ref="N849">_xlfn.IFS(M849=1,"Sunny Day",M849=2,"Cloudy Day",M849=3,"Rainy Day",M849=4,"Heavy Rain")</f>
        <v>Rainy Day</v>
      </c>
      <c r="O849">
        <v>0.28000000000000003</v>
      </c>
      <c r="P849">
        <v>0.2727</v>
      </c>
      <c r="Q849">
        <v>0.93</v>
      </c>
      <c r="R849">
        <v>0.16420000000000001</v>
      </c>
      <c r="S849">
        <v>0</v>
      </c>
      <c r="T849">
        <v>1</v>
      </c>
      <c r="U849">
        <v>1</v>
      </c>
    </row>
    <row r="850" spans="1:21" x14ac:dyDescent="0.3">
      <c r="A850">
        <v>858</v>
      </c>
      <c r="B850" t="s">
        <v>83</v>
      </c>
      <c r="C850" t="str">
        <f t="shared" si="53"/>
        <v>08-Feb-2011</v>
      </c>
      <c r="D850">
        <v>1</v>
      </c>
      <c r="E850">
        <v>0</v>
      </c>
      <c r="F850">
        <v>2</v>
      </c>
      <c r="G850" t="str">
        <f t="shared" si="52"/>
        <v>Feb</v>
      </c>
      <c r="H850">
        <v>4</v>
      </c>
      <c r="I850">
        <f t="shared" si="54"/>
        <v>0</v>
      </c>
      <c r="J850" t="s">
        <v>126</v>
      </c>
      <c r="K850">
        <v>2</v>
      </c>
      <c r="L850" t="str">
        <f t="shared" si="55"/>
        <v>Weekday</v>
      </c>
      <c r="M850">
        <v>1</v>
      </c>
      <c r="N850" t="str" cm="1">
        <f t="array" ref="N850">_xlfn.IFS(M850=1,"Sunny Day",M850=2,"Cloudy Day",M850=3,"Rainy Day",M850=4,"Heavy Rain")</f>
        <v>Sunny Day</v>
      </c>
      <c r="O850">
        <v>0.26</v>
      </c>
      <c r="P850">
        <v>0.2576</v>
      </c>
      <c r="Q850">
        <v>0.93</v>
      </c>
      <c r="R850">
        <v>0.16420000000000001</v>
      </c>
      <c r="S850">
        <v>0</v>
      </c>
      <c r="T850">
        <v>3</v>
      </c>
      <c r="U850">
        <v>3</v>
      </c>
    </row>
    <row r="851" spans="1:21" x14ac:dyDescent="0.3">
      <c r="A851">
        <v>859</v>
      </c>
      <c r="B851" t="s">
        <v>83</v>
      </c>
      <c r="C851" t="str">
        <f t="shared" si="53"/>
        <v>08-Feb-2011</v>
      </c>
      <c r="D851">
        <v>1</v>
      </c>
      <c r="E851">
        <v>0</v>
      </c>
      <c r="F851">
        <v>2</v>
      </c>
      <c r="G851" t="str">
        <f t="shared" si="52"/>
        <v>Feb</v>
      </c>
      <c r="H851">
        <v>5</v>
      </c>
      <c r="I851">
        <f t="shared" si="54"/>
        <v>0</v>
      </c>
      <c r="J851" t="s">
        <v>126</v>
      </c>
      <c r="K851">
        <v>2</v>
      </c>
      <c r="L851" t="str">
        <f t="shared" si="55"/>
        <v>Weekday</v>
      </c>
      <c r="M851">
        <v>1</v>
      </c>
      <c r="N851" t="str" cm="1">
        <f t="array" ref="N851">_xlfn.IFS(M851=1,"Sunny Day",M851=2,"Cloudy Day",M851=3,"Rainy Day",M851=4,"Heavy Rain")</f>
        <v>Sunny Day</v>
      </c>
      <c r="O851">
        <v>0.26</v>
      </c>
      <c r="P851">
        <v>0.2273</v>
      </c>
      <c r="Q851">
        <v>0.81</v>
      </c>
      <c r="R851">
        <v>0.32840000000000003</v>
      </c>
      <c r="S851">
        <v>0</v>
      </c>
      <c r="T851">
        <v>2</v>
      </c>
      <c r="U851">
        <v>2</v>
      </c>
    </row>
    <row r="852" spans="1:21" x14ac:dyDescent="0.3">
      <c r="A852">
        <v>860</v>
      </c>
      <c r="B852" t="s">
        <v>83</v>
      </c>
      <c r="C852" t="str">
        <f t="shared" si="53"/>
        <v>08-Feb-2011</v>
      </c>
      <c r="D852">
        <v>1</v>
      </c>
      <c r="E852">
        <v>0</v>
      </c>
      <c r="F852">
        <v>2</v>
      </c>
      <c r="G852" t="str">
        <f t="shared" si="52"/>
        <v>Feb</v>
      </c>
      <c r="H852">
        <v>6</v>
      </c>
      <c r="I852">
        <f t="shared" si="54"/>
        <v>0</v>
      </c>
      <c r="J852" t="s">
        <v>126</v>
      </c>
      <c r="K852">
        <v>2</v>
      </c>
      <c r="L852" t="str">
        <f t="shared" si="55"/>
        <v>Weekday</v>
      </c>
      <c r="M852">
        <v>1</v>
      </c>
      <c r="N852" t="str" cm="1">
        <f t="array" ref="N852">_xlfn.IFS(M852=1,"Sunny Day",M852=2,"Cloudy Day",M852=3,"Rainy Day",M852=4,"Heavy Rain")</f>
        <v>Sunny Day</v>
      </c>
      <c r="O852">
        <v>0.26</v>
      </c>
      <c r="P852">
        <v>0.2273</v>
      </c>
      <c r="Q852">
        <v>0.7</v>
      </c>
      <c r="R852">
        <v>0.32840000000000003</v>
      </c>
      <c r="S852">
        <v>0</v>
      </c>
      <c r="T852">
        <v>39</v>
      </c>
      <c r="U852">
        <v>39</v>
      </c>
    </row>
    <row r="853" spans="1:21" x14ac:dyDescent="0.3">
      <c r="A853">
        <v>861</v>
      </c>
      <c r="B853" t="s">
        <v>83</v>
      </c>
      <c r="C853" t="str">
        <f t="shared" si="53"/>
        <v>08-Feb-2011</v>
      </c>
      <c r="D853">
        <v>1</v>
      </c>
      <c r="E853">
        <v>0</v>
      </c>
      <c r="F853">
        <v>2</v>
      </c>
      <c r="G853" t="str">
        <f t="shared" si="52"/>
        <v>Feb</v>
      </c>
      <c r="H853">
        <v>7</v>
      </c>
      <c r="I853">
        <f t="shared" si="54"/>
        <v>0</v>
      </c>
      <c r="J853" t="s">
        <v>126</v>
      </c>
      <c r="K853">
        <v>2</v>
      </c>
      <c r="L853" t="str">
        <f t="shared" si="55"/>
        <v>Weekday</v>
      </c>
      <c r="M853">
        <v>1</v>
      </c>
      <c r="N853" t="str" cm="1">
        <f t="array" ref="N853">_xlfn.IFS(M853=1,"Sunny Day",M853=2,"Cloudy Day",M853=3,"Rainy Day",M853=4,"Heavy Rain")</f>
        <v>Sunny Day</v>
      </c>
      <c r="O853">
        <v>0.24</v>
      </c>
      <c r="P853">
        <v>0.19700000000000001</v>
      </c>
      <c r="Q853">
        <v>0.65</v>
      </c>
      <c r="R853">
        <v>0.41789999999999999</v>
      </c>
      <c r="S853">
        <v>3</v>
      </c>
      <c r="T853">
        <v>97</v>
      </c>
      <c r="U853">
        <v>100</v>
      </c>
    </row>
    <row r="854" spans="1:21" x14ac:dyDescent="0.3">
      <c r="A854">
        <v>862</v>
      </c>
      <c r="B854" t="s">
        <v>83</v>
      </c>
      <c r="C854" t="str">
        <f t="shared" si="53"/>
        <v>08-Feb-2011</v>
      </c>
      <c r="D854">
        <v>1</v>
      </c>
      <c r="E854">
        <v>0</v>
      </c>
      <c r="F854">
        <v>2</v>
      </c>
      <c r="G854" t="str">
        <f t="shared" si="52"/>
        <v>Feb</v>
      </c>
      <c r="H854">
        <v>8</v>
      </c>
      <c r="I854">
        <f t="shared" si="54"/>
        <v>0</v>
      </c>
      <c r="J854" t="s">
        <v>126</v>
      </c>
      <c r="K854">
        <v>2</v>
      </c>
      <c r="L854" t="str">
        <f t="shared" si="55"/>
        <v>Weekday</v>
      </c>
      <c r="M854">
        <v>1</v>
      </c>
      <c r="N854" t="str" cm="1">
        <f t="array" ref="N854">_xlfn.IFS(M854=1,"Sunny Day",M854=2,"Cloudy Day",M854=3,"Rainy Day",M854=4,"Heavy Rain")</f>
        <v>Sunny Day</v>
      </c>
      <c r="O854">
        <v>0.24</v>
      </c>
      <c r="P854">
        <v>0.19700000000000001</v>
      </c>
      <c r="Q854">
        <v>0.56000000000000005</v>
      </c>
      <c r="R854">
        <v>0.49249999999999999</v>
      </c>
      <c r="S854">
        <v>7</v>
      </c>
      <c r="T854">
        <v>236</v>
      </c>
      <c r="U854">
        <v>243</v>
      </c>
    </row>
    <row r="855" spans="1:21" x14ac:dyDescent="0.3">
      <c r="A855">
        <v>863</v>
      </c>
      <c r="B855" t="s">
        <v>83</v>
      </c>
      <c r="C855" t="str">
        <f t="shared" si="53"/>
        <v>08-Feb-2011</v>
      </c>
      <c r="D855">
        <v>1</v>
      </c>
      <c r="E855">
        <v>0</v>
      </c>
      <c r="F855">
        <v>2</v>
      </c>
      <c r="G855" t="str">
        <f t="shared" si="52"/>
        <v>Feb</v>
      </c>
      <c r="H855">
        <v>9</v>
      </c>
      <c r="I855">
        <f t="shared" si="54"/>
        <v>0</v>
      </c>
      <c r="J855" t="s">
        <v>126</v>
      </c>
      <c r="K855">
        <v>2</v>
      </c>
      <c r="L855" t="str">
        <f t="shared" si="55"/>
        <v>Weekday</v>
      </c>
      <c r="M855">
        <v>1</v>
      </c>
      <c r="N855" t="str" cm="1">
        <f t="array" ref="N855">_xlfn.IFS(M855=1,"Sunny Day",M855=2,"Cloudy Day",M855=3,"Rainy Day",M855=4,"Heavy Rain")</f>
        <v>Sunny Day</v>
      </c>
      <c r="O855">
        <v>0.24</v>
      </c>
      <c r="P855">
        <v>0.19700000000000001</v>
      </c>
      <c r="Q855">
        <v>0.52</v>
      </c>
      <c r="R855">
        <v>0.49249999999999999</v>
      </c>
      <c r="S855">
        <v>7</v>
      </c>
      <c r="T855">
        <v>128</v>
      </c>
      <c r="U855">
        <v>135</v>
      </c>
    </row>
    <row r="856" spans="1:21" x14ac:dyDescent="0.3">
      <c r="A856">
        <v>864</v>
      </c>
      <c r="B856" t="s">
        <v>83</v>
      </c>
      <c r="C856" t="str">
        <f t="shared" si="53"/>
        <v>08-Feb-2011</v>
      </c>
      <c r="D856">
        <v>1</v>
      </c>
      <c r="E856">
        <v>0</v>
      </c>
      <c r="F856">
        <v>2</v>
      </c>
      <c r="G856" t="str">
        <f t="shared" si="52"/>
        <v>Feb</v>
      </c>
      <c r="H856">
        <v>10</v>
      </c>
      <c r="I856">
        <f t="shared" si="54"/>
        <v>0</v>
      </c>
      <c r="J856" t="s">
        <v>126</v>
      </c>
      <c r="K856">
        <v>2</v>
      </c>
      <c r="L856" t="str">
        <f t="shared" si="55"/>
        <v>Weekday</v>
      </c>
      <c r="M856">
        <v>1</v>
      </c>
      <c r="N856" t="str" cm="1">
        <f t="array" ref="N856">_xlfn.IFS(M856=1,"Sunny Day",M856=2,"Cloudy Day",M856=3,"Rainy Day",M856=4,"Heavy Rain")</f>
        <v>Sunny Day</v>
      </c>
      <c r="O856">
        <v>0.22</v>
      </c>
      <c r="P856">
        <v>0.18179999999999999</v>
      </c>
      <c r="Q856">
        <v>0.47</v>
      </c>
      <c r="R856">
        <v>0.55220000000000002</v>
      </c>
      <c r="S856">
        <v>4</v>
      </c>
      <c r="T856">
        <v>44</v>
      </c>
      <c r="U856">
        <v>48</v>
      </c>
    </row>
    <row r="857" spans="1:21" x14ac:dyDescent="0.3">
      <c r="A857">
        <v>865</v>
      </c>
      <c r="B857" t="s">
        <v>83</v>
      </c>
      <c r="C857" t="str">
        <f t="shared" si="53"/>
        <v>08-Feb-2011</v>
      </c>
      <c r="D857">
        <v>1</v>
      </c>
      <c r="E857">
        <v>0</v>
      </c>
      <c r="F857">
        <v>2</v>
      </c>
      <c r="G857" t="str">
        <f t="shared" si="52"/>
        <v>Feb</v>
      </c>
      <c r="H857">
        <v>11</v>
      </c>
      <c r="I857">
        <f t="shared" si="54"/>
        <v>1</v>
      </c>
      <c r="J857" t="s">
        <v>126</v>
      </c>
      <c r="K857">
        <v>2</v>
      </c>
      <c r="L857" t="str">
        <f t="shared" si="55"/>
        <v>Weekday</v>
      </c>
      <c r="M857">
        <v>1</v>
      </c>
      <c r="N857" t="str" cm="1">
        <f t="array" ref="N857">_xlfn.IFS(M857=1,"Sunny Day",M857=2,"Cloudy Day",M857=3,"Rainy Day",M857=4,"Heavy Rain")</f>
        <v>Sunny Day</v>
      </c>
      <c r="O857">
        <v>0.22</v>
      </c>
      <c r="P857">
        <v>0.18179999999999999</v>
      </c>
      <c r="Q857">
        <v>0.47</v>
      </c>
      <c r="R857">
        <v>0.4627</v>
      </c>
      <c r="S857">
        <v>1</v>
      </c>
      <c r="T857">
        <v>49</v>
      </c>
      <c r="U857">
        <v>50</v>
      </c>
    </row>
    <row r="858" spans="1:21" x14ac:dyDescent="0.3">
      <c r="A858">
        <v>866</v>
      </c>
      <c r="B858" t="s">
        <v>83</v>
      </c>
      <c r="C858" t="str">
        <f t="shared" si="53"/>
        <v>08-Feb-2011</v>
      </c>
      <c r="D858">
        <v>1</v>
      </c>
      <c r="E858">
        <v>0</v>
      </c>
      <c r="F858">
        <v>2</v>
      </c>
      <c r="G858" t="str">
        <f t="shared" si="52"/>
        <v>Feb</v>
      </c>
      <c r="H858">
        <v>12</v>
      </c>
      <c r="I858">
        <f t="shared" si="54"/>
        <v>1</v>
      </c>
      <c r="J858" t="s">
        <v>126</v>
      </c>
      <c r="K858">
        <v>2</v>
      </c>
      <c r="L858" t="str">
        <f t="shared" si="55"/>
        <v>Weekday</v>
      </c>
      <c r="M858">
        <v>1</v>
      </c>
      <c r="N858" t="str" cm="1">
        <f t="array" ref="N858">_xlfn.IFS(M858=1,"Sunny Day",M858=2,"Cloudy Day",M858=3,"Rainy Day",M858=4,"Heavy Rain")</f>
        <v>Sunny Day</v>
      </c>
      <c r="O858">
        <v>0.24</v>
      </c>
      <c r="P858">
        <v>0.19700000000000001</v>
      </c>
      <c r="Q858">
        <v>0.38</v>
      </c>
      <c r="R858">
        <v>0.49249999999999999</v>
      </c>
      <c r="S858">
        <v>2</v>
      </c>
      <c r="T858">
        <v>63</v>
      </c>
      <c r="U858">
        <v>65</v>
      </c>
    </row>
    <row r="859" spans="1:21" x14ac:dyDescent="0.3">
      <c r="A859">
        <v>867</v>
      </c>
      <c r="B859" t="s">
        <v>83</v>
      </c>
      <c r="C859" t="str">
        <f t="shared" si="53"/>
        <v>08-Feb-2011</v>
      </c>
      <c r="D859">
        <v>1</v>
      </c>
      <c r="E859">
        <v>0</v>
      </c>
      <c r="F859">
        <v>2</v>
      </c>
      <c r="G859" t="str">
        <f t="shared" si="52"/>
        <v>Feb</v>
      </c>
      <c r="H859">
        <v>13</v>
      </c>
      <c r="I859">
        <f t="shared" si="54"/>
        <v>1</v>
      </c>
      <c r="J859" t="s">
        <v>126</v>
      </c>
      <c r="K859">
        <v>2</v>
      </c>
      <c r="L859" t="str">
        <f t="shared" si="55"/>
        <v>Weekday</v>
      </c>
      <c r="M859">
        <v>2</v>
      </c>
      <c r="N859" t="str" cm="1">
        <f t="array" ref="N859">_xlfn.IFS(M859=1,"Sunny Day",M859=2,"Cloudy Day",M859=3,"Rainy Day",M859=4,"Heavy Rain")</f>
        <v>Cloudy Day</v>
      </c>
      <c r="O859">
        <v>0.24</v>
      </c>
      <c r="P859">
        <v>0.19700000000000001</v>
      </c>
      <c r="Q859">
        <v>0.32</v>
      </c>
      <c r="R859">
        <v>0.44779999999999998</v>
      </c>
      <c r="S859">
        <v>2</v>
      </c>
      <c r="T859">
        <v>48</v>
      </c>
      <c r="U859">
        <v>50</v>
      </c>
    </row>
    <row r="860" spans="1:21" x14ac:dyDescent="0.3">
      <c r="A860">
        <v>868</v>
      </c>
      <c r="B860" t="s">
        <v>83</v>
      </c>
      <c r="C860" t="str">
        <f t="shared" si="53"/>
        <v>08-Feb-2011</v>
      </c>
      <c r="D860">
        <v>1</v>
      </c>
      <c r="E860">
        <v>0</v>
      </c>
      <c r="F860">
        <v>2</v>
      </c>
      <c r="G860" t="str">
        <f t="shared" si="52"/>
        <v>Feb</v>
      </c>
      <c r="H860">
        <v>14</v>
      </c>
      <c r="I860">
        <f t="shared" si="54"/>
        <v>1</v>
      </c>
      <c r="J860" t="s">
        <v>126</v>
      </c>
      <c r="K860">
        <v>2</v>
      </c>
      <c r="L860" t="str">
        <f t="shared" si="55"/>
        <v>Weekday</v>
      </c>
      <c r="M860">
        <v>1</v>
      </c>
      <c r="N860" t="str" cm="1">
        <f t="array" ref="N860">_xlfn.IFS(M860=1,"Sunny Day",M860=2,"Cloudy Day",M860=3,"Rainy Day",M860=4,"Heavy Rain")</f>
        <v>Sunny Day</v>
      </c>
      <c r="O860">
        <v>0.22</v>
      </c>
      <c r="P860">
        <v>0.19700000000000001</v>
      </c>
      <c r="Q860">
        <v>0.37</v>
      </c>
      <c r="R860">
        <v>0.41789999999999999</v>
      </c>
      <c r="S860">
        <v>3</v>
      </c>
      <c r="T860">
        <v>61</v>
      </c>
      <c r="U860">
        <v>64</v>
      </c>
    </row>
    <row r="861" spans="1:21" x14ac:dyDescent="0.3">
      <c r="A861">
        <v>869</v>
      </c>
      <c r="B861" t="s">
        <v>83</v>
      </c>
      <c r="C861" t="str">
        <f t="shared" si="53"/>
        <v>08-Feb-2011</v>
      </c>
      <c r="D861">
        <v>1</v>
      </c>
      <c r="E861">
        <v>0</v>
      </c>
      <c r="F861">
        <v>2</v>
      </c>
      <c r="G861" t="str">
        <f t="shared" si="52"/>
        <v>Feb</v>
      </c>
      <c r="H861">
        <v>15</v>
      </c>
      <c r="I861">
        <f t="shared" si="54"/>
        <v>1</v>
      </c>
      <c r="J861" t="s">
        <v>126</v>
      </c>
      <c r="K861">
        <v>2</v>
      </c>
      <c r="L861" t="str">
        <f t="shared" si="55"/>
        <v>Weekday</v>
      </c>
      <c r="M861">
        <v>1</v>
      </c>
      <c r="N861" t="str" cm="1">
        <f t="array" ref="N861">_xlfn.IFS(M861=1,"Sunny Day",M861=2,"Cloudy Day",M861=3,"Rainy Day",M861=4,"Heavy Rain")</f>
        <v>Sunny Day</v>
      </c>
      <c r="O861">
        <v>0.22</v>
      </c>
      <c r="P861">
        <v>0.19700000000000001</v>
      </c>
      <c r="Q861">
        <v>0.35</v>
      </c>
      <c r="R861">
        <v>0.3881</v>
      </c>
      <c r="S861">
        <v>6</v>
      </c>
      <c r="T861">
        <v>45</v>
      </c>
      <c r="U861">
        <v>51</v>
      </c>
    </row>
    <row r="862" spans="1:21" x14ac:dyDescent="0.3">
      <c r="A862">
        <v>870</v>
      </c>
      <c r="B862" t="s">
        <v>83</v>
      </c>
      <c r="C862" t="str">
        <f t="shared" si="53"/>
        <v>08-Feb-2011</v>
      </c>
      <c r="D862">
        <v>1</v>
      </c>
      <c r="E862">
        <v>0</v>
      </c>
      <c r="F862">
        <v>2</v>
      </c>
      <c r="G862" t="str">
        <f t="shared" si="52"/>
        <v>Feb</v>
      </c>
      <c r="H862">
        <v>16</v>
      </c>
      <c r="I862">
        <f t="shared" si="54"/>
        <v>1</v>
      </c>
      <c r="J862" t="s">
        <v>126</v>
      </c>
      <c r="K862">
        <v>2</v>
      </c>
      <c r="L862" t="str">
        <f t="shared" si="55"/>
        <v>Weekday</v>
      </c>
      <c r="M862">
        <v>1</v>
      </c>
      <c r="N862" t="str" cm="1">
        <f t="array" ref="N862">_xlfn.IFS(M862=1,"Sunny Day",M862=2,"Cloudy Day",M862=3,"Rainy Day",M862=4,"Heavy Rain")</f>
        <v>Sunny Day</v>
      </c>
      <c r="O862">
        <v>0.22</v>
      </c>
      <c r="P862">
        <v>0.18179999999999999</v>
      </c>
      <c r="Q862">
        <v>0.35</v>
      </c>
      <c r="R862">
        <v>0.52239999999999998</v>
      </c>
      <c r="S862">
        <v>4</v>
      </c>
      <c r="T862">
        <v>79</v>
      </c>
      <c r="U862">
        <v>83</v>
      </c>
    </row>
    <row r="863" spans="1:21" x14ac:dyDescent="0.3">
      <c r="A863">
        <v>871</v>
      </c>
      <c r="B863" t="s">
        <v>83</v>
      </c>
      <c r="C863" t="str">
        <f t="shared" si="53"/>
        <v>08-Feb-2011</v>
      </c>
      <c r="D863">
        <v>1</v>
      </c>
      <c r="E863">
        <v>0</v>
      </c>
      <c r="F863">
        <v>2</v>
      </c>
      <c r="G863" t="str">
        <f t="shared" si="52"/>
        <v>Feb</v>
      </c>
      <c r="H863">
        <v>17</v>
      </c>
      <c r="I863">
        <f t="shared" si="54"/>
        <v>1</v>
      </c>
      <c r="J863" t="s">
        <v>126</v>
      </c>
      <c r="K863">
        <v>2</v>
      </c>
      <c r="L863" t="str">
        <f t="shared" si="55"/>
        <v>Weekday</v>
      </c>
      <c r="M863">
        <v>1</v>
      </c>
      <c r="N863" t="str" cm="1">
        <f t="array" ref="N863">_xlfn.IFS(M863=1,"Sunny Day",M863=2,"Cloudy Day",M863=3,"Rainy Day",M863=4,"Heavy Rain")</f>
        <v>Sunny Day</v>
      </c>
      <c r="O863">
        <v>0.22</v>
      </c>
      <c r="P863">
        <v>0.18179999999999999</v>
      </c>
      <c r="Q863">
        <v>0.32</v>
      </c>
      <c r="R863">
        <v>0.58209999999999995</v>
      </c>
      <c r="S863">
        <v>4</v>
      </c>
      <c r="T863">
        <v>172</v>
      </c>
      <c r="U863">
        <v>176</v>
      </c>
    </row>
    <row r="864" spans="1:21" x14ac:dyDescent="0.3">
      <c r="A864">
        <v>872</v>
      </c>
      <c r="B864" t="s">
        <v>83</v>
      </c>
      <c r="C864" t="str">
        <f t="shared" si="53"/>
        <v>08-Feb-2011</v>
      </c>
      <c r="D864">
        <v>1</v>
      </c>
      <c r="E864">
        <v>0</v>
      </c>
      <c r="F864">
        <v>2</v>
      </c>
      <c r="G864" t="str">
        <f t="shared" si="52"/>
        <v>Feb</v>
      </c>
      <c r="H864">
        <v>18</v>
      </c>
      <c r="I864">
        <f t="shared" si="54"/>
        <v>1</v>
      </c>
      <c r="J864" t="s">
        <v>126</v>
      </c>
      <c r="K864">
        <v>2</v>
      </c>
      <c r="L864" t="str">
        <f t="shared" si="55"/>
        <v>Weekday</v>
      </c>
      <c r="M864">
        <v>1</v>
      </c>
      <c r="N864" t="str" cm="1">
        <f t="array" ref="N864">_xlfn.IFS(M864=1,"Sunny Day",M864=2,"Cloudy Day",M864=3,"Rainy Day",M864=4,"Heavy Rain")</f>
        <v>Sunny Day</v>
      </c>
      <c r="O864">
        <v>0.2</v>
      </c>
      <c r="P864">
        <v>0.18179999999999999</v>
      </c>
      <c r="Q864">
        <v>0.32</v>
      </c>
      <c r="R864">
        <v>0.3881</v>
      </c>
      <c r="S864">
        <v>1</v>
      </c>
      <c r="T864">
        <v>151</v>
      </c>
      <c r="U864">
        <v>152</v>
      </c>
    </row>
    <row r="865" spans="1:21" x14ac:dyDescent="0.3">
      <c r="A865">
        <v>873</v>
      </c>
      <c r="B865" t="s">
        <v>83</v>
      </c>
      <c r="C865" t="str">
        <f t="shared" si="53"/>
        <v>08-Feb-2011</v>
      </c>
      <c r="D865">
        <v>1</v>
      </c>
      <c r="E865">
        <v>0</v>
      </c>
      <c r="F865">
        <v>2</v>
      </c>
      <c r="G865" t="str">
        <f t="shared" si="52"/>
        <v>Feb</v>
      </c>
      <c r="H865">
        <v>19</v>
      </c>
      <c r="I865">
        <f t="shared" si="54"/>
        <v>1</v>
      </c>
      <c r="J865" t="s">
        <v>126</v>
      </c>
      <c r="K865">
        <v>2</v>
      </c>
      <c r="L865" t="str">
        <f t="shared" si="55"/>
        <v>Weekday</v>
      </c>
      <c r="M865">
        <v>1</v>
      </c>
      <c r="N865" t="str" cm="1">
        <f t="array" ref="N865">_xlfn.IFS(M865=1,"Sunny Day",M865=2,"Cloudy Day",M865=3,"Rainy Day",M865=4,"Heavy Rain")</f>
        <v>Sunny Day</v>
      </c>
      <c r="O865">
        <v>0.16</v>
      </c>
      <c r="P865">
        <v>0.1212</v>
      </c>
      <c r="Q865">
        <v>0.4</v>
      </c>
      <c r="R865">
        <v>0.4627</v>
      </c>
      <c r="S865">
        <v>1</v>
      </c>
      <c r="T865">
        <v>100</v>
      </c>
      <c r="U865">
        <v>101</v>
      </c>
    </row>
    <row r="866" spans="1:21" x14ac:dyDescent="0.3">
      <c r="A866">
        <v>874</v>
      </c>
      <c r="B866" t="s">
        <v>83</v>
      </c>
      <c r="C866" t="str">
        <f t="shared" si="53"/>
        <v>08-Feb-2011</v>
      </c>
      <c r="D866">
        <v>1</v>
      </c>
      <c r="E866">
        <v>0</v>
      </c>
      <c r="F866">
        <v>2</v>
      </c>
      <c r="G866" t="str">
        <f t="shared" si="52"/>
        <v>Feb</v>
      </c>
      <c r="H866">
        <v>20</v>
      </c>
      <c r="I866">
        <f t="shared" si="54"/>
        <v>1</v>
      </c>
      <c r="J866" t="s">
        <v>126</v>
      </c>
      <c r="K866">
        <v>2</v>
      </c>
      <c r="L866" t="str">
        <f t="shared" si="55"/>
        <v>Weekday</v>
      </c>
      <c r="M866">
        <v>1</v>
      </c>
      <c r="N866" t="str" cm="1">
        <f t="array" ref="N866">_xlfn.IFS(M866=1,"Sunny Day",M866=2,"Cloudy Day",M866=3,"Rainy Day",M866=4,"Heavy Rain")</f>
        <v>Sunny Day</v>
      </c>
      <c r="O866">
        <v>0.16</v>
      </c>
      <c r="P866">
        <v>0.13639999999999999</v>
      </c>
      <c r="Q866">
        <v>0.4</v>
      </c>
      <c r="R866">
        <v>0.32840000000000003</v>
      </c>
      <c r="S866">
        <v>3</v>
      </c>
      <c r="T866">
        <v>53</v>
      </c>
      <c r="U866">
        <v>56</v>
      </c>
    </row>
    <row r="867" spans="1:21" x14ac:dyDescent="0.3">
      <c r="A867">
        <v>875</v>
      </c>
      <c r="B867" t="s">
        <v>83</v>
      </c>
      <c r="C867" t="str">
        <f t="shared" si="53"/>
        <v>08-Feb-2011</v>
      </c>
      <c r="D867">
        <v>1</v>
      </c>
      <c r="E867">
        <v>0</v>
      </c>
      <c r="F867">
        <v>2</v>
      </c>
      <c r="G867" t="str">
        <f t="shared" si="52"/>
        <v>Feb</v>
      </c>
      <c r="H867">
        <v>21</v>
      </c>
      <c r="I867">
        <f t="shared" si="54"/>
        <v>1</v>
      </c>
      <c r="J867" t="s">
        <v>126</v>
      </c>
      <c r="K867">
        <v>2</v>
      </c>
      <c r="L867" t="str">
        <f t="shared" si="55"/>
        <v>Weekday</v>
      </c>
      <c r="M867">
        <v>1</v>
      </c>
      <c r="N867" t="str" cm="1">
        <f t="array" ref="N867">_xlfn.IFS(M867=1,"Sunny Day",M867=2,"Cloudy Day",M867=3,"Rainy Day",M867=4,"Heavy Rain")</f>
        <v>Sunny Day</v>
      </c>
      <c r="O867">
        <v>0.14000000000000001</v>
      </c>
      <c r="P867">
        <v>0.1061</v>
      </c>
      <c r="Q867">
        <v>0.33</v>
      </c>
      <c r="R867">
        <v>0.4627</v>
      </c>
      <c r="S867">
        <v>8</v>
      </c>
      <c r="T867">
        <v>46</v>
      </c>
      <c r="U867">
        <v>54</v>
      </c>
    </row>
    <row r="868" spans="1:21" x14ac:dyDescent="0.3">
      <c r="A868">
        <v>876</v>
      </c>
      <c r="B868" t="s">
        <v>83</v>
      </c>
      <c r="C868" t="str">
        <f t="shared" si="53"/>
        <v>08-Feb-2011</v>
      </c>
      <c r="D868">
        <v>1</v>
      </c>
      <c r="E868">
        <v>0</v>
      </c>
      <c r="F868">
        <v>2</v>
      </c>
      <c r="G868" t="str">
        <f t="shared" si="52"/>
        <v>Feb</v>
      </c>
      <c r="H868">
        <v>22</v>
      </c>
      <c r="I868">
        <f t="shared" si="54"/>
        <v>1</v>
      </c>
      <c r="J868" t="s">
        <v>126</v>
      </c>
      <c r="K868">
        <v>2</v>
      </c>
      <c r="L868" t="str">
        <f t="shared" si="55"/>
        <v>Weekday</v>
      </c>
      <c r="M868">
        <v>1</v>
      </c>
      <c r="N868" t="str" cm="1">
        <f t="array" ref="N868">_xlfn.IFS(M868=1,"Sunny Day",M868=2,"Cloudy Day",M868=3,"Rainy Day",M868=4,"Heavy Rain")</f>
        <v>Sunny Day</v>
      </c>
      <c r="O868">
        <v>0.12</v>
      </c>
      <c r="P868">
        <v>0.1061</v>
      </c>
      <c r="Q868">
        <v>0.33</v>
      </c>
      <c r="R868">
        <v>0.35820000000000002</v>
      </c>
      <c r="S868">
        <v>0</v>
      </c>
      <c r="T868">
        <v>29</v>
      </c>
      <c r="U868">
        <v>29</v>
      </c>
    </row>
    <row r="869" spans="1:21" x14ac:dyDescent="0.3">
      <c r="A869">
        <v>877</v>
      </c>
      <c r="B869" t="s">
        <v>83</v>
      </c>
      <c r="C869" t="str">
        <f t="shared" si="53"/>
        <v>08-Feb-2011</v>
      </c>
      <c r="D869">
        <v>1</v>
      </c>
      <c r="E869">
        <v>0</v>
      </c>
      <c r="F869">
        <v>2</v>
      </c>
      <c r="G869" t="str">
        <f t="shared" si="52"/>
        <v>Feb</v>
      </c>
      <c r="H869">
        <v>23</v>
      </c>
      <c r="I869">
        <f t="shared" si="54"/>
        <v>1</v>
      </c>
      <c r="J869" t="s">
        <v>126</v>
      </c>
      <c r="K869">
        <v>2</v>
      </c>
      <c r="L869" t="str">
        <f t="shared" si="55"/>
        <v>Weekday</v>
      </c>
      <c r="M869">
        <v>1</v>
      </c>
      <c r="N869" t="str" cm="1">
        <f t="array" ref="N869">_xlfn.IFS(M869=1,"Sunny Day",M869=2,"Cloudy Day",M869=3,"Rainy Day",M869=4,"Heavy Rain")</f>
        <v>Sunny Day</v>
      </c>
      <c r="O869">
        <v>0.12</v>
      </c>
      <c r="P869">
        <v>0.1061</v>
      </c>
      <c r="Q869">
        <v>0.33</v>
      </c>
      <c r="R869">
        <v>0.32840000000000003</v>
      </c>
      <c r="S869">
        <v>3</v>
      </c>
      <c r="T869">
        <v>9</v>
      </c>
      <c r="U869">
        <v>12</v>
      </c>
    </row>
    <row r="870" spans="1:21" x14ac:dyDescent="0.3">
      <c r="A870">
        <v>878</v>
      </c>
      <c r="B870" t="s">
        <v>85</v>
      </c>
      <c r="C870" t="str">
        <f t="shared" si="53"/>
        <v>09-Feb-2011</v>
      </c>
      <c r="D870">
        <v>1</v>
      </c>
      <c r="E870">
        <v>0</v>
      </c>
      <c r="F870">
        <v>2</v>
      </c>
      <c r="G870" t="str">
        <f t="shared" si="52"/>
        <v>Feb</v>
      </c>
      <c r="H870">
        <v>0</v>
      </c>
      <c r="I870">
        <f t="shared" si="54"/>
        <v>0</v>
      </c>
      <c r="J870" t="s">
        <v>126</v>
      </c>
      <c r="K870">
        <v>3</v>
      </c>
      <c r="L870" t="str">
        <f t="shared" si="55"/>
        <v>Weekday</v>
      </c>
      <c r="M870">
        <v>1</v>
      </c>
      <c r="N870" t="str" cm="1">
        <f t="array" ref="N870">_xlfn.IFS(M870=1,"Sunny Day",M870=2,"Cloudy Day",M870=3,"Rainy Day",M870=4,"Heavy Rain")</f>
        <v>Sunny Day</v>
      </c>
      <c r="O870">
        <v>0.1</v>
      </c>
      <c r="P870">
        <v>7.5800000000000006E-2</v>
      </c>
      <c r="Q870">
        <v>0.36</v>
      </c>
      <c r="R870">
        <v>0.35820000000000002</v>
      </c>
      <c r="S870">
        <v>0</v>
      </c>
      <c r="T870">
        <v>17</v>
      </c>
      <c r="U870">
        <v>17</v>
      </c>
    </row>
    <row r="871" spans="1:21" x14ac:dyDescent="0.3">
      <c r="A871">
        <v>879</v>
      </c>
      <c r="B871" t="s">
        <v>85</v>
      </c>
      <c r="C871" t="str">
        <f t="shared" si="53"/>
        <v>09-Feb-2011</v>
      </c>
      <c r="D871">
        <v>1</v>
      </c>
      <c r="E871">
        <v>0</v>
      </c>
      <c r="F871">
        <v>2</v>
      </c>
      <c r="G871" t="str">
        <f t="shared" si="52"/>
        <v>Feb</v>
      </c>
      <c r="H871">
        <v>1</v>
      </c>
      <c r="I871">
        <f t="shared" si="54"/>
        <v>0</v>
      </c>
      <c r="J871" t="s">
        <v>126</v>
      </c>
      <c r="K871">
        <v>3</v>
      </c>
      <c r="L871" t="str">
        <f t="shared" si="55"/>
        <v>Weekday</v>
      </c>
      <c r="M871">
        <v>1</v>
      </c>
      <c r="N871" t="str" cm="1">
        <f t="array" ref="N871">_xlfn.IFS(M871=1,"Sunny Day",M871=2,"Cloudy Day",M871=3,"Rainy Day",M871=4,"Heavy Rain")</f>
        <v>Sunny Day</v>
      </c>
      <c r="O871">
        <v>0.1</v>
      </c>
      <c r="P871">
        <v>0.1061</v>
      </c>
      <c r="Q871">
        <v>0.36</v>
      </c>
      <c r="R871">
        <v>0.22389999999999999</v>
      </c>
      <c r="S871">
        <v>0</v>
      </c>
      <c r="T871">
        <v>7</v>
      </c>
      <c r="U871">
        <v>7</v>
      </c>
    </row>
    <row r="872" spans="1:21" x14ac:dyDescent="0.3">
      <c r="A872">
        <v>880</v>
      </c>
      <c r="B872" t="s">
        <v>85</v>
      </c>
      <c r="C872" t="str">
        <f t="shared" si="53"/>
        <v>09-Feb-2011</v>
      </c>
      <c r="D872">
        <v>1</v>
      </c>
      <c r="E872">
        <v>0</v>
      </c>
      <c r="F872">
        <v>2</v>
      </c>
      <c r="G872" t="str">
        <f t="shared" si="52"/>
        <v>Feb</v>
      </c>
      <c r="H872">
        <v>2</v>
      </c>
      <c r="I872">
        <f t="shared" si="54"/>
        <v>0</v>
      </c>
      <c r="J872" t="s">
        <v>126</v>
      </c>
      <c r="K872">
        <v>3</v>
      </c>
      <c r="L872" t="str">
        <f t="shared" si="55"/>
        <v>Weekday</v>
      </c>
      <c r="M872">
        <v>1</v>
      </c>
      <c r="N872" t="str" cm="1">
        <f t="array" ref="N872">_xlfn.IFS(M872=1,"Sunny Day",M872=2,"Cloudy Day",M872=3,"Rainy Day",M872=4,"Heavy Rain")</f>
        <v>Sunny Day</v>
      </c>
      <c r="O872">
        <v>0.08</v>
      </c>
      <c r="P872">
        <v>7.5800000000000006E-2</v>
      </c>
      <c r="Q872">
        <v>0.38</v>
      </c>
      <c r="R872">
        <v>0.28360000000000002</v>
      </c>
      <c r="S872">
        <v>1</v>
      </c>
      <c r="T872">
        <v>2</v>
      </c>
      <c r="U872">
        <v>3</v>
      </c>
    </row>
    <row r="873" spans="1:21" x14ac:dyDescent="0.3">
      <c r="A873">
        <v>881</v>
      </c>
      <c r="B873" t="s">
        <v>85</v>
      </c>
      <c r="C873" t="str">
        <f t="shared" si="53"/>
        <v>09-Feb-2011</v>
      </c>
      <c r="D873">
        <v>1</v>
      </c>
      <c r="E873">
        <v>0</v>
      </c>
      <c r="F873">
        <v>2</v>
      </c>
      <c r="G873" t="str">
        <f t="shared" si="52"/>
        <v>Feb</v>
      </c>
      <c r="H873">
        <v>3</v>
      </c>
      <c r="I873">
        <f t="shared" si="54"/>
        <v>0</v>
      </c>
      <c r="J873" t="s">
        <v>126</v>
      </c>
      <c r="K873">
        <v>3</v>
      </c>
      <c r="L873" t="str">
        <f t="shared" si="55"/>
        <v>Weekday</v>
      </c>
      <c r="M873">
        <v>1</v>
      </c>
      <c r="N873" t="str" cm="1">
        <f t="array" ref="N873">_xlfn.IFS(M873=1,"Sunny Day",M873=2,"Cloudy Day",M873=3,"Rainy Day",M873=4,"Heavy Rain")</f>
        <v>Sunny Day</v>
      </c>
      <c r="O873">
        <v>0.06</v>
      </c>
      <c r="P873">
        <v>7.5800000000000006E-2</v>
      </c>
      <c r="Q873">
        <v>0.45</v>
      </c>
      <c r="R873">
        <v>0.1343</v>
      </c>
      <c r="S873">
        <v>0</v>
      </c>
      <c r="T873">
        <v>2</v>
      </c>
      <c r="U873">
        <v>2</v>
      </c>
    </row>
    <row r="874" spans="1:21" x14ac:dyDescent="0.3">
      <c r="A874">
        <v>882</v>
      </c>
      <c r="B874" t="s">
        <v>85</v>
      </c>
      <c r="C874" t="str">
        <f t="shared" si="53"/>
        <v>09-Feb-2011</v>
      </c>
      <c r="D874">
        <v>1</v>
      </c>
      <c r="E874">
        <v>0</v>
      </c>
      <c r="F874">
        <v>2</v>
      </c>
      <c r="G874" t="str">
        <f t="shared" si="52"/>
        <v>Feb</v>
      </c>
      <c r="H874">
        <v>5</v>
      </c>
      <c r="I874">
        <f t="shared" si="54"/>
        <v>0</v>
      </c>
      <c r="J874" t="s">
        <v>126</v>
      </c>
      <c r="K874">
        <v>3</v>
      </c>
      <c r="L874" t="str">
        <f t="shared" si="55"/>
        <v>Weekday</v>
      </c>
      <c r="M874">
        <v>1</v>
      </c>
      <c r="N874" t="str" cm="1">
        <f t="array" ref="N874">_xlfn.IFS(M874=1,"Sunny Day",M874=2,"Cloudy Day",M874=3,"Rainy Day",M874=4,"Heavy Rain")</f>
        <v>Sunny Day</v>
      </c>
      <c r="O874">
        <v>0.06</v>
      </c>
      <c r="P874">
        <v>0.1061</v>
      </c>
      <c r="Q874">
        <v>0.45</v>
      </c>
      <c r="R874">
        <v>0.1045</v>
      </c>
      <c r="S874">
        <v>0</v>
      </c>
      <c r="T874">
        <v>7</v>
      </c>
      <c r="U874">
        <v>7</v>
      </c>
    </row>
    <row r="875" spans="1:21" x14ac:dyDescent="0.3">
      <c r="A875">
        <v>883</v>
      </c>
      <c r="B875" t="s">
        <v>85</v>
      </c>
      <c r="C875" t="str">
        <f t="shared" si="53"/>
        <v>09-Feb-2011</v>
      </c>
      <c r="D875">
        <v>1</v>
      </c>
      <c r="E875">
        <v>0</v>
      </c>
      <c r="F875">
        <v>2</v>
      </c>
      <c r="G875" t="str">
        <f t="shared" si="52"/>
        <v>Feb</v>
      </c>
      <c r="H875">
        <v>6</v>
      </c>
      <c r="I875">
        <f t="shared" si="54"/>
        <v>0</v>
      </c>
      <c r="J875" t="s">
        <v>126</v>
      </c>
      <c r="K875">
        <v>3</v>
      </c>
      <c r="L875" t="str">
        <f t="shared" si="55"/>
        <v>Weekday</v>
      </c>
      <c r="M875">
        <v>1</v>
      </c>
      <c r="N875" t="str" cm="1">
        <f t="array" ref="N875">_xlfn.IFS(M875=1,"Sunny Day",M875=2,"Cloudy Day",M875=3,"Rainy Day",M875=4,"Heavy Rain")</f>
        <v>Sunny Day</v>
      </c>
      <c r="O875">
        <v>0.06</v>
      </c>
      <c r="P875">
        <v>0.1515</v>
      </c>
      <c r="Q875">
        <v>0.45</v>
      </c>
      <c r="R875">
        <v>0</v>
      </c>
      <c r="S875">
        <v>0</v>
      </c>
      <c r="T875">
        <v>43</v>
      </c>
      <c r="U875">
        <v>43</v>
      </c>
    </row>
    <row r="876" spans="1:21" x14ac:dyDescent="0.3">
      <c r="A876">
        <v>884</v>
      </c>
      <c r="B876" t="s">
        <v>85</v>
      </c>
      <c r="C876" t="str">
        <f t="shared" si="53"/>
        <v>09-Feb-2011</v>
      </c>
      <c r="D876">
        <v>1</v>
      </c>
      <c r="E876">
        <v>0</v>
      </c>
      <c r="F876">
        <v>2</v>
      </c>
      <c r="G876" t="str">
        <f t="shared" si="52"/>
        <v>Feb</v>
      </c>
      <c r="H876">
        <v>7</v>
      </c>
      <c r="I876">
        <f t="shared" si="54"/>
        <v>0</v>
      </c>
      <c r="J876" t="s">
        <v>126</v>
      </c>
      <c r="K876">
        <v>3</v>
      </c>
      <c r="L876" t="str">
        <f t="shared" si="55"/>
        <v>Weekday</v>
      </c>
      <c r="M876">
        <v>1</v>
      </c>
      <c r="N876" t="str" cm="1">
        <f t="array" ref="N876">_xlfn.IFS(M876=1,"Sunny Day",M876=2,"Cloudy Day",M876=3,"Rainy Day",M876=4,"Heavy Rain")</f>
        <v>Sunny Day</v>
      </c>
      <c r="O876">
        <v>0.06</v>
      </c>
      <c r="P876">
        <v>0.1061</v>
      </c>
      <c r="Q876">
        <v>0.49</v>
      </c>
      <c r="R876">
        <v>0.1045</v>
      </c>
      <c r="S876">
        <v>4</v>
      </c>
      <c r="T876">
        <v>95</v>
      </c>
      <c r="U876">
        <v>99</v>
      </c>
    </row>
    <row r="877" spans="1:21" x14ac:dyDescent="0.3">
      <c r="A877">
        <v>885</v>
      </c>
      <c r="B877" t="s">
        <v>85</v>
      </c>
      <c r="C877" t="str">
        <f t="shared" si="53"/>
        <v>09-Feb-2011</v>
      </c>
      <c r="D877">
        <v>1</v>
      </c>
      <c r="E877">
        <v>0</v>
      </c>
      <c r="F877">
        <v>2</v>
      </c>
      <c r="G877" t="str">
        <f t="shared" si="52"/>
        <v>Feb</v>
      </c>
      <c r="H877">
        <v>8</v>
      </c>
      <c r="I877">
        <f t="shared" si="54"/>
        <v>0</v>
      </c>
      <c r="J877" t="s">
        <v>126</v>
      </c>
      <c r="K877">
        <v>3</v>
      </c>
      <c r="L877" t="str">
        <f t="shared" si="55"/>
        <v>Weekday</v>
      </c>
      <c r="M877">
        <v>1</v>
      </c>
      <c r="N877" t="str" cm="1">
        <f t="array" ref="N877">_xlfn.IFS(M877=1,"Sunny Day",M877=2,"Cloudy Day",M877=3,"Rainy Day",M877=4,"Heavy Rain")</f>
        <v>Sunny Day</v>
      </c>
      <c r="O877">
        <v>0.1</v>
      </c>
      <c r="P877">
        <v>0.13639999999999999</v>
      </c>
      <c r="Q877">
        <v>0.42</v>
      </c>
      <c r="R877">
        <v>0</v>
      </c>
      <c r="S877">
        <v>1</v>
      </c>
      <c r="T877">
        <v>198</v>
      </c>
      <c r="U877">
        <v>199</v>
      </c>
    </row>
    <row r="878" spans="1:21" x14ac:dyDescent="0.3">
      <c r="A878">
        <v>886</v>
      </c>
      <c r="B878" t="s">
        <v>85</v>
      </c>
      <c r="C878" t="str">
        <f t="shared" si="53"/>
        <v>09-Feb-2011</v>
      </c>
      <c r="D878">
        <v>1</v>
      </c>
      <c r="E878">
        <v>0</v>
      </c>
      <c r="F878">
        <v>2</v>
      </c>
      <c r="G878" t="str">
        <f t="shared" si="52"/>
        <v>Feb</v>
      </c>
      <c r="H878">
        <v>9</v>
      </c>
      <c r="I878">
        <f t="shared" si="54"/>
        <v>0</v>
      </c>
      <c r="J878" t="s">
        <v>126</v>
      </c>
      <c r="K878">
        <v>3</v>
      </c>
      <c r="L878" t="str">
        <f t="shared" si="55"/>
        <v>Weekday</v>
      </c>
      <c r="M878">
        <v>1</v>
      </c>
      <c r="N878" t="str" cm="1">
        <f t="array" ref="N878">_xlfn.IFS(M878=1,"Sunny Day",M878=2,"Cloudy Day",M878=3,"Rainy Day",M878=4,"Heavy Rain")</f>
        <v>Sunny Day</v>
      </c>
      <c r="O878">
        <v>0.12</v>
      </c>
      <c r="P878">
        <v>0.13639999999999999</v>
      </c>
      <c r="Q878">
        <v>0.39</v>
      </c>
      <c r="R878">
        <v>0.16420000000000001</v>
      </c>
      <c r="S878">
        <v>4</v>
      </c>
      <c r="T878">
        <v>119</v>
      </c>
      <c r="U878">
        <v>123</v>
      </c>
    </row>
    <row r="879" spans="1:21" x14ac:dyDescent="0.3">
      <c r="A879">
        <v>887</v>
      </c>
      <c r="B879" t="s">
        <v>85</v>
      </c>
      <c r="C879" t="str">
        <f t="shared" si="53"/>
        <v>09-Feb-2011</v>
      </c>
      <c r="D879">
        <v>1</v>
      </c>
      <c r="E879">
        <v>0</v>
      </c>
      <c r="F879">
        <v>2</v>
      </c>
      <c r="G879" t="str">
        <f t="shared" si="52"/>
        <v>Feb</v>
      </c>
      <c r="H879">
        <v>10</v>
      </c>
      <c r="I879">
        <f t="shared" si="54"/>
        <v>0</v>
      </c>
      <c r="J879" t="s">
        <v>126</v>
      </c>
      <c r="K879">
        <v>3</v>
      </c>
      <c r="L879" t="str">
        <f t="shared" si="55"/>
        <v>Weekday</v>
      </c>
      <c r="M879">
        <v>1</v>
      </c>
      <c r="N879" t="str" cm="1">
        <f t="array" ref="N879">_xlfn.IFS(M879=1,"Sunny Day",M879=2,"Cloudy Day",M879=3,"Rainy Day",M879=4,"Heavy Rain")</f>
        <v>Sunny Day</v>
      </c>
      <c r="O879">
        <v>0.14000000000000001</v>
      </c>
      <c r="P879">
        <v>0.18179999999999999</v>
      </c>
      <c r="Q879">
        <v>0.36</v>
      </c>
      <c r="R879">
        <v>0</v>
      </c>
      <c r="S879">
        <v>8</v>
      </c>
      <c r="T879">
        <v>51</v>
      </c>
      <c r="U879">
        <v>59</v>
      </c>
    </row>
    <row r="880" spans="1:21" x14ac:dyDescent="0.3">
      <c r="A880">
        <v>888</v>
      </c>
      <c r="B880" t="s">
        <v>85</v>
      </c>
      <c r="C880" t="str">
        <f t="shared" si="53"/>
        <v>09-Feb-2011</v>
      </c>
      <c r="D880">
        <v>1</v>
      </c>
      <c r="E880">
        <v>0</v>
      </c>
      <c r="F880">
        <v>2</v>
      </c>
      <c r="G880" t="str">
        <f t="shared" si="52"/>
        <v>Feb</v>
      </c>
      <c r="H880">
        <v>11</v>
      </c>
      <c r="I880">
        <f t="shared" si="54"/>
        <v>1</v>
      </c>
      <c r="J880" t="s">
        <v>126</v>
      </c>
      <c r="K880">
        <v>3</v>
      </c>
      <c r="L880" t="str">
        <f t="shared" si="55"/>
        <v>Weekday</v>
      </c>
      <c r="M880">
        <v>2</v>
      </c>
      <c r="N880" t="str" cm="1">
        <f t="array" ref="N880">_xlfn.IFS(M880=1,"Sunny Day",M880=2,"Cloudy Day",M880=3,"Rainy Day",M880=4,"Heavy Rain")</f>
        <v>Cloudy Day</v>
      </c>
      <c r="O880">
        <v>0.14000000000000001</v>
      </c>
      <c r="P880">
        <v>0.1515</v>
      </c>
      <c r="Q880">
        <v>0.43</v>
      </c>
      <c r="R880">
        <v>0.16420000000000001</v>
      </c>
      <c r="S880">
        <v>1</v>
      </c>
      <c r="T880">
        <v>40</v>
      </c>
      <c r="U880">
        <v>41</v>
      </c>
    </row>
    <row r="881" spans="1:21" x14ac:dyDescent="0.3">
      <c r="A881">
        <v>889</v>
      </c>
      <c r="B881" t="s">
        <v>85</v>
      </c>
      <c r="C881" t="str">
        <f t="shared" si="53"/>
        <v>09-Feb-2011</v>
      </c>
      <c r="D881">
        <v>1</v>
      </c>
      <c r="E881">
        <v>0</v>
      </c>
      <c r="F881">
        <v>2</v>
      </c>
      <c r="G881" t="str">
        <f t="shared" si="52"/>
        <v>Feb</v>
      </c>
      <c r="H881">
        <v>12</v>
      </c>
      <c r="I881">
        <f t="shared" si="54"/>
        <v>1</v>
      </c>
      <c r="J881" t="s">
        <v>126</v>
      </c>
      <c r="K881">
        <v>3</v>
      </c>
      <c r="L881" t="str">
        <f t="shared" si="55"/>
        <v>Weekday</v>
      </c>
      <c r="M881">
        <v>2</v>
      </c>
      <c r="N881" t="str" cm="1">
        <f t="array" ref="N881">_xlfn.IFS(M881=1,"Sunny Day",M881=2,"Cloudy Day",M881=3,"Rainy Day",M881=4,"Heavy Rain")</f>
        <v>Cloudy Day</v>
      </c>
      <c r="O881">
        <v>0.18</v>
      </c>
      <c r="P881">
        <v>0.18179999999999999</v>
      </c>
      <c r="Q881">
        <v>0.4</v>
      </c>
      <c r="R881">
        <v>0.22389999999999999</v>
      </c>
      <c r="S881">
        <v>4</v>
      </c>
      <c r="T881">
        <v>57</v>
      </c>
      <c r="U881">
        <v>61</v>
      </c>
    </row>
    <row r="882" spans="1:21" x14ac:dyDescent="0.3">
      <c r="A882">
        <v>890</v>
      </c>
      <c r="B882" t="s">
        <v>85</v>
      </c>
      <c r="C882" t="str">
        <f t="shared" si="53"/>
        <v>09-Feb-2011</v>
      </c>
      <c r="D882">
        <v>1</v>
      </c>
      <c r="E882">
        <v>0</v>
      </c>
      <c r="F882">
        <v>2</v>
      </c>
      <c r="G882" t="str">
        <f t="shared" si="52"/>
        <v>Feb</v>
      </c>
      <c r="H882">
        <v>13</v>
      </c>
      <c r="I882">
        <f t="shared" si="54"/>
        <v>1</v>
      </c>
      <c r="J882" t="s">
        <v>126</v>
      </c>
      <c r="K882">
        <v>3</v>
      </c>
      <c r="L882" t="str">
        <f t="shared" si="55"/>
        <v>Weekday</v>
      </c>
      <c r="M882">
        <v>1</v>
      </c>
      <c r="N882" t="str" cm="1">
        <f t="array" ref="N882">_xlfn.IFS(M882=1,"Sunny Day",M882=2,"Cloudy Day",M882=3,"Rainy Day",M882=4,"Heavy Rain")</f>
        <v>Sunny Day</v>
      </c>
      <c r="O882">
        <v>0.18</v>
      </c>
      <c r="P882">
        <v>0.16669999999999999</v>
      </c>
      <c r="Q882">
        <v>0.4</v>
      </c>
      <c r="R882">
        <v>0.25369999999999998</v>
      </c>
      <c r="S882">
        <v>2</v>
      </c>
      <c r="T882">
        <v>67</v>
      </c>
      <c r="U882">
        <v>69</v>
      </c>
    </row>
    <row r="883" spans="1:21" x14ac:dyDescent="0.3">
      <c r="A883">
        <v>891</v>
      </c>
      <c r="B883" t="s">
        <v>85</v>
      </c>
      <c r="C883" t="str">
        <f t="shared" si="53"/>
        <v>09-Feb-2011</v>
      </c>
      <c r="D883">
        <v>1</v>
      </c>
      <c r="E883">
        <v>0</v>
      </c>
      <c r="F883">
        <v>2</v>
      </c>
      <c r="G883" t="str">
        <f t="shared" si="52"/>
        <v>Feb</v>
      </c>
      <c r="H883">
        <v>14</v>
      </c>
      <c r="I883">
        <f t="shared" si="54"/>
        <v>1</v>
      </c>
      <c r="J883" t="s">
        <v>126</v>
      </c>
      <c r="K883">
        <v>3</v>
      </c>
      <c r="L883" t="str">
        <f t="shared" si="55"/>
        <v>Weekday</v>
      </c>
      <c r="M883">
        <v>1</v>
      </c>
      <c r="N883" t="str" cm="1">
        <f t="array" ref="N883">_xlfn.IFS(M883=1,"Sunny Day",M883=2,"Cloudy Day",M883=3,"Rainy Day",M883=4,"Heavy Rain")</f>
        <v>Sunny Day</v>
      </c>
      <c r="O883">
        <v>0.2</v>
      </c>
      <c r="P883">
        <v>0.18179999999999999</v>
      </c>
      <c r="Q883">
        <v>0.34</v>
      </c>
      <c r="R883">
        <v>0.29849999999999999</v>
      </c>
      <c r="S883">
        <v>2</v>
      </c>
      <c r="T883">
        <v>56</v>
      </c>
      <c r="U883">
        <v>58</v>
      </c>
    </row>
    <row r="884" spans="1:21" x14ac:dyDescent="0.3">
      <c r="A884">
        <v>892</v>
      </c>
      <c r="B884" t="s">
        <v>85</v>
      </c>
      <c r="C884" t="str">
        <f t="shared" si="53"/>
        <v>09-Feb-2011</v>
      </c>
      <c r="D884">
        <v>1</v>
      </c>
      <c r="E884">
        <v>0</v>
      </c>
      <c r="F884">
        <v>2</v>
      </c>
      <c r="G884" t="str">
        <f t="shared" si="52"/>
        <v>Feb</v>
      </c>
      <c r="H884">
        <v>15</v>
      </c>
      <c r="I884">
        <f t="shared" si="54"/>
        <v>1</v>
      </c>
      <c r="J884" t="s">
        <v>126</v>
      </c>
      <c r="K884">
        <v>3</v>
      </c>
      <c r="L884" t="str">
        <f t="shared" si="55"/>
        <v>Weekday</v>
      </c>
      <c r="M884">
        <v>2</v>
      </c>
      <c r="N884" t="str" cm="1">
        <f t="array" ref="N884">_xlfn.IFS(M884=1,"Sunny Day",M884=2,"Cloudy Day",M884=3,"Rainy Day",M884=4,"Heavy Rain")</f>
        <v>Cloudy Day</v>
      </c>
      <c r="O884">
        <v>0.2</v>
      </c>
      <c r="P884">
        <v>0.18179999999999999</v>
      </c>
      <c r="Q884">
        <v>0.34</v>
      </c>
      <c r="R884">
        <v>0.28360000000000002</v>
      </c>
      <c r="S884">
        <v>3</v>
      </c>
      <c r="T884">
        <v>61</v>
      </c>
      <c r="U884">
        <v>64</v>
      </c>
    </row>
    <row r="885" spans="1:21" x14ac:dyDescent="0.3">
      <c r="A885">
        <v>893</v>
      </c>
      <c r="B885" t="s">
        <v>85</v>
      </c>
      <c r="C885" t="str">
        <f t="shared" si="53"/>
        <v>09-Feb-2011</v>
      </c>
      <c r="D885">
        <v>1</v>
      </c>
      <c r="E885">
        <v>0</v>
      </c>
      <c r="F885">
        <v>2</v>
      </c>
      <c r="G885" t="str">
        <f t="shared" si="52"/>
        <v>Feb</v>
      </c>
      <c r="H885">
        <v>16</v>
      </c>
      <c r="I885">
        <f t="shared" si="54"/>
        <v>1</v>
      </c>
      <c r="J885" t="s">
        <v>126</v>
      </c>
      <c r="K885">
        <v>3</v>
      </c>
      <c r="L885" t="str">
        <f t="shared" si="55"/>
        <v>Weekday</v>
      </c>
      <c r="M885">
        <v>2</v>
      </c>
      <c r="N885" t="str" cm="1">
        <f t="array" ref="N885">_xlfn.IFS(M885=1,"Sunny Day",M885=2,"Cloudy Day",M885=3,"Rainy Day",M885=4,"Heavy Rain")</f>
        <v>Cloudy Day</v>
      </c>
      <c r="O885">
        <v>0.2</v>
      </c>
      <c r="P885">
        <v>0.19700000000000001</v>
      </c>
      <c r="Q885">
        <v>0.37</v>
      </c>
      <c r="R885">
        <v>0.25369999999999998</v>
      </c>
      <c r="S885">
        <v>7</v>
      </c>
      <c r="T885">
        <v>72</v>
      </c>
      <c r="U885">
        <v>79</v>
      </c>
    </row>
    <row r="886" spans="1:21" x14ac:dyDescent="0.3">
      <c r="A886">
        <v>894</v>
      </c>
      <c r="B886" t="s">
        <v>85</v>
      </c>
      <c r="C886" t="str">
        <f t="shared" si="53"/>
        <v>09-Feb-2011</v>
      </c>
      <c r="D886">
        <v>1</v>
      </c>
      <c r="E886">
        <v>0</v>
      </c>
      <c r="F886">
        <v>2</v>
      </c>
      <c r="G886" t="str">
        <f t="shared" si="52"/>
        <v>Feb</v>
      </c>
      <c r="H886">
        <v>17</v>
      </c>
      <c r="I886">
        <f t="shared" si="54"/>
        <v>1</v>
      </c>
      <c r="J886" t="s">
        <v>126</v>
      </c>
      <c r="K886">
        <v>3</v>
      </c>
      <c r="L886" t="str">
        <f t="shared" si="55"/>
        <v>Weekday</v>
      </c>
      <c r="M886">
        <v>2</v>
      </c>
      <c r="N886" t="str" cm="1">
        <f t="array" ref="N886">_xlfn.IFS(M886=1,"Sunny Day",M886=2,"Cloudy Day",M886=3,"Rainy Day",M886=4,"Heavy Rain")</f>
        <v>Cloudy Day</v>
      </c>
      <c r="O886">
        <v>0.2</v>
      </c>
      <c r="P886">
        <v>0.19700000000000001</v>
      </c>
      <c r="Q886">
        <v>0.34</v>
      </c>
      <c r="R886">
        <v>0.25369999999999998</v>
      </c>
      <c r="S886">
        <v>9</v>
      </c>
      <c r="T886">
        <v>157</v>
      </c>
      <c r="U886">
        <v>166</v>
      </c>
    </row>
    <row r="887" spans="1:21" x14ac:dyDescent="0.3">
      <c r="A887">
        <v>895</v>
      </c>
      <c r="B887" t="s">
        <v>85</v>
      </c>
      <c r="C887" t="str">
        <f t="shared" si="53"/>
        <v>09-Feb-2011</v>
      </c>
      <c r="D887">
        <v>1</v>
      </c>
      <c r="E887">
        <v>0</v>
      </c>
      <c r="F887">
        <v>2</v>
      </c>
      <c r="G887" t="str">
        <f t="shared" si="52"/>
        <v>Feb</v>
      </c>
      <c r="H887">
        <v>18</v>
      </c>
      <c r="I887">
        <f t="shared" si="54"/>
        <v>1</v>
      </c>
      <c r="J887" t="s">
        <v>126</v>
      </c>
      <c r="K887">
        <v>3</v>
      </c>
      <c r="L887" t="str">
        <f t="shared" si="55"/>
        <v>Weekday</v>
      </c>
      <c r="M887">
        <v>2</v>
      </c>
      <c r="N887" t="str" cm="1">
        <f t="array" ref="N887">_xlfn.IFS(M887=1,"Sunny Day",M887=2,"Cloudy Day",M887=3,"Rainy Day",M887=4,"Heavy Rain")</f>
        <v>Cloudy Day</v>
      </c>
      <c r="O887">
        <v>0.18</v>
      </c>
      <c r="P887">
        <v>0.16669999999999999</v>
      </c>
      <c r="Q887">
        <v>0.47</v>
      </c>
      <c r="R887">
        <v>0.29849999999999999</v>
      </c>
      <c r="S887">
        <v>2</v>
      </c>
      <c r="T887">
        <v>168</v>
      </c>
      <c r="U887">
        <v>170</v>
      </c>
    </row>
    <row r="888" spans="1:21" x14ac:dyDescent="0.3">
      <c r="A888">
        <v>896</v>
      </c>
      <c r="B888" t="s">
        <v>85</v>
      </c>
      <c r="C888" t="str">
        <f t="shared" si="53"/>
        <v>09-Feb-2011</v>
      </c>
      <c r="D888">
        <v>1</v>
      </c>
      <c r="E888">
        <v>0</v>
      </c>
      <c r="F888">
        <v>2</v>
      </c>
      <c r="G888" t="str">
        <f t="shared" si="52"/>
        <v>Feb</v>
      </c>
      <c r="H888">
        <v>19</v>
      </c>
      <c r="I888">
        <f t="shared" si="54"/>
        <v>1</v>
      </c>
      <c r="J888" t="s">
        <v>126</v>
      </c>
      <c r="K888">
        <v>3</v>
      </c>
      <c r="L888" t="str">
        <f t="shared" si="55"/>
        <v>Weekday</v>
      </c>
      <c r="M888">
        <v>3</v>
      </c>
      <c r="N888" t="str" cm="1">
        <f t="array" ref="N888">_xlfn.IFS(M888=1,"Sunny Day",M888=2,"Cloudy Day",M888=3,"Rainy Day",M888=4,"Heavy Rain")</f>
        <v>Rainy Day</v>
      </c>
      <c r="O888">
        <v>0.14000000000000001</v>
      </c>
      <c r="P888">
        <v>0.1212</v>
      </c>
      <c r="Q888">
        <v>0.86</v>
      </c>
      <c r="R888">
        <v>0.25369999999999998</v>
      </c>
      <c r="S888">
        <v>1</v>
      </c>
      <c r="T888">
        <v>87</v>
      </c>
      <c r="U888">
        <v>88</v>
      </c>
    </row>
    <row r="889" spans="1:21" x14ac:dyDescent="0.3">
      <c r="A889">
        <v>897</v>
      </c>
      <c r="B889" t="s">
        <v>85</v>
      </c>
      <c r="C889" t="str">
        <f t="shared" si="53"/>
        <v>09-Feb-2011</v>
      </c>
      <c r="D889">
        <v>1</v>
      </c>
      <c r="E889">
        <v>0</v>
      </c>
      <c r="F889">
        <v>2</v>
      </c>
      <c r="G889" t="str">
        <f t="shared" si="52"/>
        <v>Feb</v>
      </c>
      <c r="H889">
        <v>20</v>
      </c>
      <c r="I889">
        <f t="shared" si="54"/>
        <v>1</v>
      </c>
      <c r="J889" t="s">
        <v>126</v>
      </c>
      <c r="K889">
        <v>3</v>
      </c>
      <c r="L889" t="str">
        <f t="shared" si="55"/>
        <v>Weekday</v>
      </c>
      <c r="M889">
        <v>3</v>
      </c>
      <c r="N889" t="str" cm="1">
        <f t="array" ref="N889">_xlfn.IFS(M889=1,"Sunny Day",M889=2,"Cloudy Day",M889=3,"Rainy Day",M889=4,"Heavy Rain")</f>
        <v>Rainy Day</v>
      </c>
      <c r="O889">
        <v>0.14000000000000001</v>
      </c>
      <c r="P889">
        <v>0.1515</v>
      </c>
      <c r="Q889">
        <v>0.86</v>
      </c>
      <c r="R889">
        <v>0.16420000000000001</v>
      </c>
      <c r="S889">
        <v>0</v>
      </c>
      <c r="T889">
        <v>84</v>
      </c>
      <c r="U889">
        <v>84</v>
      </c>
    </row>
    <row r="890" spans="1:21" x14ac:dyDescent="0.3">
      <c r="A890">
        <v>898</v>
      </c>
      <c r="B890" t="s">
        <v>85</v>
      </c>
      <c r="C890" t="str">
        <f t="shared" si="53"/>
        <v>09-Feb-2011</v>
      </c>
      <c r="D890">
        <v>1</v>
      </c>
      <c r="E890">
        <v>0</v>
      </c>
      <c r="F890">
        <v>2</v>
      </c>
      <c r="G890" t="str">
        <f t="shared" si="52"/>
        <v>Feb</v>
      </c>
      <c r="H890">
        <v>21</v>
      </c>
      <c r="I890">
        <f t="shared" si="54"/>
        <v>1</v>
      </c>
      <c r="J890" t="s">
        <v>126</v>
      </c>
      <c r="K890">
        <v>3</v>
      </c>
      <c r="L890" t="str">
        <f t="shared" si="55"/>
        <v>Weekday</v>
      </c>
      <c r="M890">
        <v>2</v>
      </c>
      <c r="N890" t="str" cm="1">
        <f t="array" ref="N890">_xlfn.IFS(M890=1,"Sunny Day",M890=2,"Cloudy Day",M890=3,"Rainy Day",M890=4,"Heavy Rain")</f>
        <v>Cloudy Day</v>
      </c>
      <c r="O890">
        <v>0.14000000000000001</v>
      </c>
      <c r="P890">
        <v>0.1515</v>
      </c>
      <c r="Q890">
        <v>0.86</v>
      </c>
      <c r="R890">
        <v>0.16420000000000001</v>
      </c>
      <c r="S890">
        <v>0</v>
      </c>
      <c r="T890">
        <v>83</v>
      </c>
      <c r="U890">
        <v>83</v>
      </c>
    </row>
    <row r="891" spans="1:21" x14ac:dyDescent="0.3">
      <c r="A891">
        <v>899</v>
      </c>
      <c r="B891" t="s">
        <v>85</v>
      </c>
      <c r="C891" t="str">
        <f t="shared" si="53"/>
        <v>09-Feb-2011</v>
      </c>
      <c r="D891">
        <v>1</v>
      </c>
      <c r="E891">
        <v>0</v>
      </c>
      <c r="F891">
        <v>2</v>
      </c>
      <c r="G891" t="str">
        <f t="shared" si="52"/>
        <v>Feb</v>
      </c>
      <c r="H891">
        <v>22</v>
      </c>
      <c r="I891">
        <f t="shared" si="54"/>
        <v>1</v>
      </c>
      <c r="J891" t="s">
        <v>126</v>
      </c>
      <c r="K891">
        <v>3</v>
      </c>
      <c r="L891" t="str">
        <f t="shared" si="55"/>
        <v>Weekday</v>
      </c>
      <c r="M891">
        <v>3</v>
      </c>
      <c r="N891" t="str" cm="1">
        <f t="array" ref="N891">_xlfn.IFS(M891=1,"Sunny Day",M891=2,"Cloudy Day",M891=3,"Rainy Day",M891=4,"Heavy Rain")</f>
        <v>Rainy Day</v>
      </c>
      <c r="O891">
        <v>0.16</v>
      </c>
      <c r="P891">
        <v>0.16669999999999999</v>
      </c>
      <c r="Q891">
        <v>0.8</v>
      </c>
      <c r="R891">
        <v>0.16420000000000001</v>
      </c>
      <c r="S891">
        <v>4</v>
      </c>
      <c r="T891">
        <v>42</v>
      </c>
      <c r="U891">
        <v>46</v>
      </c>
    </row>
    <row r="892" spans="1:21" x14ac:dyDescent="0.3">
      <c r="A892">
        <v>900</v>
      </c>
      <c r="B892" t="s">
        <v>85</v>
      </c>
      <c r="C892" t="str">
        <f t="shared" si="53"/>
        <v>09-Feb-2011</v>
      </c>
      <c r="D892">
        <v>1</v>
      </c>
      <c r="E892">
        <v>0</v>
      </c>
      <c r="F892">
        <v>2</v>
      </c>
      <c r="G892" t="str">
        <f t="shared" si="52"/>
        <v>Feb</v>
      </c>
      <c r="H892">
        <v>23</v>
      </c>
      <c r="I892">
        <f t="shared" si="54"/>
        <v>1</v>
      </c>
      <c r="J892" t="s">
        <v>126</v>
      </c>
      <c r="K892">
        <v>3</v>
      </c>
      <c r="L892" t="str">
        <f t="shared" si="55"/>
        <v>Weekday</v>
      </c>
      <c r="M892">
        <v>3</v>
      </c>
      <c r="N892" t="str" cm="1">
        <f t="array" ref="N892">_xlfn.IFS(M892=1,"Sunny Day",M892=2,"Cloudy Day",M892=3,"Rainy Day",M892=4,"Heavy Rain")</f>
        <v>Rainy Day</v>
      </c>
      <c r="O892">
        <v>0.16</v>
      </c>
      <c r="P892">
        <v>0.1515</v>
      </c>
      <c r="Q892">
        <v>0.8</v>
      </c>
      <c r="R892">
        <v>0.19400000000000001</v>
      </c>
      <c r="S892">
        <v>0</v>
      </c>
      <c r="T892">
        <v>37</v>
      </c>
      <c r="U892">
        <v>37</v>
      </c>
    </row>
    <row r="893" spans="1:21" x14ac:dyDescent="0.3">
      <c r="A893">
        <v>901</v>
      </c>
      <c r="B893" t="s">
        <v>87</v>
      </c>
      <c r="C893" t="str">
        <f t="shared" si="53"/>
        <v>10-Feb-2011</v>
      </c>
      <c r="D893">
        <v>1</v>
      </c>
      <c r="E893">
        <v>0</v>
      </c>
      <c r="F893">
        <v>2</v>
      </c>
      <c r="G893" t="str">
        <f t="shared" si="52"/>
        <v>Feb</v>
      </c>
      <c r="H893">
        <v>0</v>
      </c>
      <c r="I893">
        <f t="shared" si="54"/>
        <v>0</v>
      </c>
      <c r="J893" t="s">
        <v>126</v>
      </c>
      <c r="K893">
        <v>4</v>
      </c>
      <c r="L893" t="str">
        <f t="shared" si="55"/>
        <v>Weekday</v>
      </c>
      <c r="M893">
        <v>3</v>
      </c>
      <c r="N893" t="str" cm="1">
        <f t="array" ref="N893">_xlfn.IFS(M893=1,"Sunny Day",M893=2,"Cloudy Day",M893=3,"Rainy Day",M893=4,"Heavy Rain")</f>
        <v>Rainy Day</v>
      </c>
      <c r="O893">
        <v>0.14000000000000001</v>
      </c>
      <c r="P893">
        <v>0.13639999999999999</v>
      </c>
      <c r="Q893">
        <v>0.86</v>
      </c>
      <c r="R893">
        <v>0.19400000000000001</v>
      </c>
      <c r="S893">
        <v>0</v>
      </c>
      <c r="T893">
        <v>16</v>
      </c>
      <c r="U893">
        <v>16</v>
      </c>
    </row>
    <row r="894" spans="1:21" x14ac:dyDescent="0.3">
      <c r="A894">
        <v>902</v>
      </c>
      <c r="B894" t="s">
        <v>87</v>
      </c>
      <c r="C894" t="str">
        <f t="shared" si="53"/>
        <v>10-Feb-2011</v>
      </c>
      <c r="D894">
        <v>1</v>
      </c>
      <c r="E894">
        <v>0</v>
      </c>
      <c r="F894">
        <v>2</v>
      </c>
      <c r="G894" t="str">
        <f t="shared" si="52"/>
        <v>Feb</v>
      </c>
      <c r="H894">
        <v>1</v>
      </c>
      <c r="I894">
        <f t="shared" si="54"/>
        <v>0</v>
      </c>
      <c r="J894" t="s">
        <v>126</v>
      </c>
      <c r="K894">
        <v>4</v>
      </c>
      <c r="L894" t="str">
        <f t="shared" si="55"/>
        <v>Weekday</v>
      </c>
      <c r="M894">
        <v>3</v>
      </c>
      <c r="N894" t="str" cm="1">
        <f t="array" ref="N894">_xlfn.IFS(M894=1,"Sunny Day",M894=2,"Cloudy Day",M894=3,"Rainy Day",M894=4,"Heavy Rain")</f>
        <v>Rainy Day</v>
      </c>
      <c r="O894">
        <v>0.14000000000000001</v>
      </c>
      <c r="P894">
        <v>0.1515</v>
      </c>
      <c r="Q894">
        <v>0.8</v>
      </c>
      <c r="R894">
        <v>0.1343</v>
      </c>
      <c r="S894">
        <v>0</v>
      </c>
      <c r="T894">
        <v>7</v>
      </c>
      <c r="U894">
        <v>7</v>
      </c>
    </row>
    <row r="895" spans="1:21" x14ac:dyDescent="0.3">
      <c r="A895">
        <v>903</v>
      </c>
      <c r="B895" t="s">
        <v>87</v>
      </c>
      <c r="C895" t="str">
        <f t="shared" si="53"/>
        <v>10-Feb-2011</v>
      </c>
      <c r="D895">
        <v>1</v>
      </c>
      <c r="E895">
        <v>0</v>
      </c>
      <c r="F895">
        <v>2</v>
      </c>
      <c r="G895" t="str">
        <f t="shared" si="52"/>
        <v>Feb</v>
      </c>
      <c r="H895">
        <v>2</v>
      </c>
      <c r="I895">
        <f t="shared" si="54"/>
        <v>0</v>
      </c>
      <c r="J895" t="s">
        <v>126</v>
      </c>
      <c r="K895">
        <v>4</v>
      </c>
      <c r="L895" t="str">
        <f t="shared" si="55"/>
        <v>Weekday</v>
      </c>
      <c r="M895">
        <v>3</v>
      </c>
      <c r="N895" t="str" cm="1">
        <f t="array" ref="N895">_xlfn.IFS(M895=1,"Sunny Day",M895=2,"Cloudy Day",M895=3,"Rainy Day",M895=4,"Heavy Rain")</f>
        <v>Rainy Day</v>
      </c>
      <c r="O895">
        <v>0.14000000000000001</v>
      </c>
      <c r="P895">
        <v>0.1515</v>
      </c>
      <c r="Q895">
        <v>0.8</v>
      </c>
      <c r="R895">
        <v>0.1343</v>
      </c>
      <c r="S895">
        <v>0</v>
      </c>
      <c r="T895">
        <v>3</v>
      </c>
      <c r="U895">
        <v>3</v>
      </c>
    </row>
    <row r="896" spans="1:21" x14ac:dyDescent="0.3">
      <c r="A896">
        <v>904</v>
      </c>
      <c r="B896" t="s">
        <v>87</v>
      </c>
      <c r="C896" t="str">
        <f t="shared" si="53"/>
        <v>10-Feb-2011</v>
      </c>
      <c r="D896">
        <v>1</v>
      </c>
      <c r="E896">
        <v>0</v>
      </c>
      <c r="F896">
        <v>2</v>
      </c>
      <c r="G896" t="str">
        <f t="shared" si="52"/>
        <v>Feb</v>
      </c>
      <c r="H896">
        <v>4</v>
      </c>
      <c r="I896">
        <f t="shared" si="54"/>
        <v>0</v>
      </c>
      <c r="J896" t="s">
        <v>126</v>
      </c>
      <c r="K896">
        <v>4</v>
      </c>
      <c r="L896" t="str">
        <f t="shared" si="55"/>
        <v>Weekday</v>
      </c>
      <c r="M896">
        <v>2</v>
      </c>
      <c r="N896" t="str" cm="1">
        <f t="array" ref="N896">_xlfn.IFS(M896=1,"Sunny Day",M896=2,"Cloudy Day",M896=3,"Rainy Day",M896=4,"Heavy Rain")</f>
        <v>Cloudy Day</v>
      </c>
      <c r="O896">
        <v>0.14000000000000001</v>
      </c>
      <c r="P896">
        <v>0.13639999999999999</v>
      </c>
      <c r="Q896">
        <v>0.59</v>
      </c>
      <c r="R896">
        <v>0.22389999999999999</v>
      </c>
      <c r="S896">
        <v>0</v>
      </c>
      <c r="T896">
        <v>1</v>
      </c>
      <c r="U896">
        <v>1</v>
      </c>
    </row>
    <row r="897" spans="1:21" x14ac:dyDescent="0.3">
      <c r="A897">
        <v>905</v>
      </c>
      <c r="B897" t="s">
        <v>87</v>
      </c>
      <c r="C897" t="str">
        <f t="shared" si="53"/>
        <v>10-Feb-2011</v>
      </c>
      <c r="D897">
        <v>1</v>
      </c>
      <c r="E897">
        <v>0</v>
      </c>
      <c r="F897">
        <v>2</v>
      </c>
      <c r="G897" t="str">
        <f t="shared" si="52"/>
        <v>Feb</v>
      </c>
      <c r="H897">
        <v>5</v>
      </c>
      <c r="I897">
        <f t="shared" si="54"/>
        <v>0</v>
      </c>
      <c r="J897" t="s">
        <v>126</v>
      </c>
      <c r="K897">
        <v>4</v>
      </c>
      <c r="L897" t="str">
        <f t="shared" si="55"/>
        <v>Weekday</v>
      </c>
      <c r="M897">
        <v>2</v>
      </c>
      <c r="N897" t="str" cm="1">
        <f t="array" ref="N897">_xlfn.IFS(M897=1,"Sunny Day",M897=2,"Cloudy Day",M897=3,"Rainy Day",M897=4,"Heavy Rain")</f>
        <v>Cloudy Day</v>
      </c>
      <c r="O897">
        <v>0.12</v>
      </c>
      <c r="P897">
        <v>0.1212</v>
      </c>
      <c r="Q897">
        <v>0.5</v>
      </c>
      <c r="R897">
        <v>0.22389999999999999</v>
      </c>
      <c r="S897">
        <v>0</v>
      </c>
      <c r="T897">
        <v>6</v>
      </c>
      <c r="U897">
        <v>6</v>
      </c>
    </row>
    <row r="898" spans="1:21" x14ac:dyDescent="0.3">
      <c r="A898">
        <v>906</v>
      </c>
      <c r="B898" t="s">
        <v>87</v>
      </c>
      <c r="C898" t="str">
        <f t="shared" si="53"/>
        <v>10-Feb-2011</v>
      </c>
      <c r="D898">
        <v>1</v>
      </c>
      <c r="E898">
        <v>0</v>
      </c>
      <c r="F898">
        <v>2</v>
      </c>
      <c r="G898" t="str">
        <f t="shared" ref="G898:G961" si="56">TEXT(C898,"mmm")</f>
        <v>Feb</v>
      </c>
      <c r="H898">
        <v>6</v>
      </c>
      <c r="I898">
        <f t="shared" si="54"/>
        <v>0</v>
      </c>
      <c r="J898" t="s">
        <v>126</v>
      </c>
      <c r="K898">
        <v>4</v>
      </c>
      <c r="L898" t="str">
        <f t="shared" si="55"/>
        <v>Weekday</v>
      </c>
      <c r="M898">
        <v>2</v>
      </c>
      <c r="N898" t="str" cm="1">
        <f t="array" ref="N898">_xlfn.IFS(M898=1,"Sunny Day",M898=2,"Cloudy Day",M898=3,"Rainy Day",M898=4,"Heavy Rain")</f>
        <v>Cloudy Day</v>
      </c>
      <c r="O898">
        <v>0.12</v>
      </c>
      <c r="P898">
        <v>0.1212</v>
      </c>
      <c r="Q898">
        <v>0.54</v>
      </c>
      <c r="R898">
        <v>0.28360000000000002</v>
      </c>
      <c r="S898">
        <v>0</v>
      </c>
      <c r="T898">
        <v>26</v>
      </c>
      <c r="U898">
        <v>26</v>
      </c>
    </row>
    <row r="899" spans="1:21" x14ac:dyDescent="0.3">
      <c r="A899">
        <v>907</v>
      </c>
      <c r="B899" t="s">
        <v>87</v>
      </c>
      <c r="C899" t="str">
        <f t="shared" ref="C899:C962" si="57">TEXT(DATEVALUE(B899),"dd-mmm-yyyy")</f>
        <v>10-Feb-2011</v>
      </c>
      <c r="D899">
        <v>1</v>
      </c>
      <c r="E899">
        <v>0</v>
      </c>
      <c r="F899">
        <v>2</v>
      </c>
      <c r="G899" t="str">
        <f t="shared" si="56"/>
        <v>Feb</v>
      </c>
      <c r="H899">
        <v>7</v>
      </c>
      <c r="I899">
        <f t="shared" ref="I899:I962" si="58">IF(AND(H899&gt;=0,H899&lt;=10),0,1)</f>
        <v>0</v>
      </c>
      <c r="J899" t="s">
        <v>126</v>
      </c>
      <c r="K899">
        <v>4</v>
      </c>
      <c r="L899" t="str">
        <f t="shared" ref="L899:L962" si="59">IF(AND(K899&gt;=1,K899&lt;=5),"Weekday","Weekend")</f>
        <v>Weekday</v>
      </c>
      <c r="M899">
        <v>1</v>
      </c>
      <c r="N899" t="str" cm="1">
        <f t="array" ref="N899">_xlfn.IFS(M899=1,"Sunny Day",M899=2,"Cloudy Day",M899=3,"Rainy Day",M899=4,"Heavy Rain")</f>
        <v>Sunny Day</v>
      </c>
      <c r="O899">
        <v>0.1</v>
      </c>
      <c r="P899">
        <v>7.5800000000000006E-2</v>
      </c>
      <c r="Q899">
        <v>0.5</v>
      </c>
      <c r="R899">
        <v>0.41789999999999999</v>
      </c>
      <c r="S899">
        <v>0</v>
      </c>
      <c r="T899">
        <v>99</v>
      </c>
      <c r="U899">
        <v>99</v>
      </c>
    </row>
    <row r="900" spans="1:21" x14ac:dyDescent="0.3">
      <c r="A900">
        <v>908</v>
      </c>
      <c r="B900" t="s">
        <v>87</v>
      </c>
      <c r="C900" t="str">
        <f t="shared" si="57"/>
        <v>10-Feb-2011</v>
      </c>
      <c r="D900">
        <v>1</v>
      </c>
      <c r="E900">
        <v>0</v>
      </c>
      <c r="F900">
        <v>2</v>
      </c>
      <c r="G900" t="str">
        <f t="shared" si="56"/>
        <v>Feb</v>
      </c>
      <c r="H900">
        <v>8</v>
      </c>
      <c r="I900">
        <f t="shared" si="58"/>
        <v>0</v>
      </c>
      <c r="J900" t="s">
        <v>126</v>
      </c>
      <c r="K900">
        <v>4</v>
      </c>
      <c r="L900" t="str">
        <f t="shared" si="59"/>
        <v>Weekday</v>
      </c>
      <c r="M900">
        <v>1</v>
      </c>
      <c r="N900" t="str" cm="1">
        <f t="array" ref="N900">_xlfn.IFS(M900=1,"Sunny Day",M900=2,"Cloudy Day",M900=3,"Rainy Day",M900=4,"Heavy Rain")</f>
        <v>Sunny Day</v>
      </c>
      <c r="O900">
        <v>0.1</v>
      </c>
      <c r="P900">
        <v>7.5800000000000006E-2</v>
      </c>
      <c r="Q900">
        <v>0.49</v>
      </c>
      <c r="R900">
        <v>0.32840000000000003</v>
      </c>
      <c r="S900">
        <v>5</v>
      </c>
      <c r="T900">
        <v>173</v>
      </c>
      <c r="U900">
        <v>178</v>
      </c>
    </row>
    <row r="901" spans="1:21" x14ac:dyDescent="0.3">
      <c r="A901">
        <v>909</v>
      </c>
      <c r="B901" t="s">
        <v>87</v>
      </c>
      <c r="C901" t="str">
        <f t="shared" si="57"/>
        <v>10-Feb-2011</v>
      </c>
      <c r="D901">
        <v>1</v>
      </c>
      <c r="E901">
        <v>0</v>
      </c>
      <c r="F901">
        <v>2</v>
      </c>
      <c r="G901" t="str">
        <f t="shared" si="56"/>
        <v>Feb</v>
      </c>
      <c r="H901">
        <v>9</v>
      </c>
      <c r="I901">
        <f t="shared" si="58"/>
        <v>0</v>
      </c>
      <c r="J901" t="s">
        <v>126</v>
      </c>
      <c r="K901">
        <v>4</v>
      </c>
      <c r="L901" t="str">
        <f t="shared" si="59"/>
        <v>Weekday</v>
      </c>
      <c r="M901">
        <v>1</v>
      </c>
      <c r="N901" t="str" cm="1">
        <f t="array" ref="N901">_xlfn.IFS(M901=1,"Sunny Day",M901=2,"Cloudy Day",M901=3,"Rainy Day",M901=4,"Heavy Rain")</f>
        <v>Sunny Day</v>
      </c>
      <c r="O901">
        <v>0.12</v>
      </c>
      <c r="P901">
        <v>0.1061</v>
      </c>
      <c r="Q901">
        <v>0.42</v>
      </c>
      <c r="R901">
        <v>0.35820000000000002</v>
      </c>
      <c r="S901">
        <v>1</v>
      </c>
      <c r="T901">
        <v>121</v>
      </c>
      <c r="U901">
        <v>122</v>
      </c>
    </row>
    <row r="902" spans="1:21" x14ac:dyDescent="0.3">
      <c r="A902">
        <v>910</v>
      </c>
      <c r="B902" t="s">
        <v>87</v>
      </c>
      <c r="C902" t="str">
        <f t="shared" si="57"/>
        <v>10-Feb-2011</v>
      </c>
      <c r="D902">
        <v>1</v>
      </c>
      <c r="E902">
        <v>0</v>
      </c>
      <c r="F902">
        <v>2</v>
      </c>
      <c r="G902" t="str">
        <f t="shared" si="56"/>
        <v>Feb</v>
      </c>
      <c r="H902">
        <v>10</v>
      </c>
      <c r="I902">
        <f t="shared" si="58"/>
        <v>0</v>
      </c>
      <c r="J902" t="s">
        <v>126</v>
      </c>
      <c r="K902">
        <v>4</v>
      </c>
      <c r="L902" t="str">
        <f t="shared" si="59"/>
        <v>Weekday</v>
      </c>
      <c r="M902">
        <v>1</v>
      </c>
      <c r="N902" t="str" cm="1">
        <f t="array" ref="N902">_xlfn.IFS(M902=1,"Sunny Day",M902=2,"Cloudy Day",M902=3,"Rainy Day",M902=4,"Heavy Rain")</f>
        <v>Sunny Day</v>
      </c>
      <c r="O902">
        <v>0.12</v>
      </c>
      <c r="P902">
        <v>0.1061</v>
      </c>
      <c r="Q902">
        <v>0.42</v>
      </c>
      <c r="R902">
        <v>0.29849999999999999</v>
      </c>
      <c r="S902">
        <v>1</v>
      </c>
      <c r="T902">
        <v>34</v>
      </c>
      <c r="U902">
        <v>35</v>
      </c>
    </row>
    <row r="903" spans="1:21" x14ac:dyDescent="0.3">
      <c r="A903">
        <v>911</v>
      </c>
      <c r="B903" t="s">
        <v>87</v>
      </c>
      <c r="C903" t="str">
        <f t="shared" si="57"/>
        <v>10-Feb-2011</v>
      </c>
      <c r="D903">
        <v>1</v>
      </c>
      <c r="E903">
        <v>0</v>
      </c>
      <c r="F903">
        <v>2</v>
      </c>
      <c r="G903" t="str">
        <f t="shared" si="56"/>
        <v>Feb</v>
      </c>
      <c r="H903">
        <v>11</v>
      </c>
      <c r="I903">
        <f t="shared" si="58"/>
        <v>1</v>
      </c>
      <c r="J903" t="s">
        <v>126</v>
      </c>
      <c r="K903">
        <v>4</v>
      </c>
      <c r="L903" t="str">
        <f t="shared" si="59"/>
        <v>Weekday</v>
      </c>
      <c r="M903">
        <v>1</v>
      </c>
      <c r="N903" t="str" cm="1">
        <f t="array" ref="N903">_xlfn.IFS(M903=1,"Sunny Day",M903=2,"Cloudy Day",M903=3,"Rainy Day",M903=4,"Heavy Rain")</f>
        <v>Sunny Day</v>
      </c>
      <c r="O903">
        <v>0.14000000000000001</v>
      </c>
      <c r="P903">
        <v>0.1212</v>
      </c>
      <c r="Q903">
        <v>0.39</v>
      </c>
      <c r="R903">
        <v>0.35820000000000002</v>
      </c>
      <c r="S903">
        <v>1</v>
      </c>
      <c r="T903">
        <v>44</v>
      </c>
      <c r="U903">
        <v>45</v>
      </c>
    </row>
    <row r="904" spans="1:21" x14ac:dyDescent="0.3">
      <c r="A904">
        <v>912</v>
      </c>
      <c r="B904" t="s">
        <v>87</v>
      </c>
      <c r="C904" t="str">
        <f t="shared" si="57"/>
        <v>10-Feb-2011</v>
      </c>
      <c r="D904">
        <v>1</v>
      </c>
      <c r="E904">
        <v>0</v>
      </c>
      <c r="F904">
        <v>2</v>
      </c>
      <c r="G904" t="str">
        <f t="shared" si="56"/>
        <v>Feb</v>
      </c>
      <c r="H904">
        <v>12</v>
      </c>
      <c r="I904">
        <f t="shared" si="58"/>
        <v>1</v>
      </c>
      <c r="J904" t="s">
        <v>126</v>
      </c>
      <c r="K904">
        <v>4</v>
      </c>
      <c r="L904" t="str">
        <f t="shared" si="59"/>
        <v>Weekday</v>
      </c>
      <c r="M904">
        <v>1</v>
      </c>
      <c r="N904" t="str" cm="1">
        <f t="array" ref="N904">_xlfn.IFS(M904=1,"Sunny Day",M904=2,"Cloudy Day",M904=3,"Rainy Day",M904=4,"Heavy Rain")</f>
        <v>Sunny Day</v>
      </c>
      <c r="O904">
        <v>0.16</v>
      </c>
      <c r="P904">
        <v>0.13639999999999999</v>
      </c>
      <c r="Q904">
        <v>0.34</v>
      </c>
      <c r="R904">
        <v>0.3881</v>
      </c>
      <c r="S904">
        <v>4</v>
      </c>
      <c r="T904">
        <v>65</v>
      </c>
      <c r="U904">
        <v>69</v>
      </c>
    </row>
    <row r="905" spans="1:21" x14ac:dyDescent="0.3">
      <c r="A905">
        <v>913</v>
      </c>
      <c r="B905" t="s">
        <v>87</v>
      </c>
      <c r="C905" t="str">
        <f t="shared" si="57"/>
        <v>10-Feb-2011</v>
      </c>
      <c r="D905">
        <v>1</v>
      </c>
      <c r="E905">
        <v>0</v>
      </c>
      <c r="F905">
        <v>2</v>
      </c>
      <c r="G905" t="str">
        <f t="shared" si="56"/>
        <v>Feb</v>
      </c>
      <c r="H905">
        <v>13</v>
      </c>
      <c r="I905">
        <f t="shared" si="58"/>
        <v>1</v>
      </c>
      <c r="J905" t="s">
        <v>126</v>
      </c>
      <c r="K905">
        <v>4</v>
      </c>
      <c r="L905" t="str">
        <f t="shared" si="59"/>
        <v>Weekday</v>
      </c>
      <c r="M905">
        <v>1</v>
      </c>
      <c r="N905" t="str" cm="1">
        <f t="array" ref="N905">_xlfn.IFS(M905=1,"Sunny Day",M905=2,"Cloudy Day",M905=3,"Rainy Day",M905=4,"Heavy Rain")</f>
        <v>Sunny Day</v>
      </c>
      <c r="O905">
        <v>0.18</v>
      </c>
      <c r="P905">
        <v>0.16669999999999999</v>
      </c>
      <c r="Q905">
        <v>0.28999999999999998</v>
      </c>
      <c r="R905">
        <v>0.29849999999999999</v>
      </c>
      <c r="S905">
        <v>3</v>
      </c>
      <c r="T905">
        <v>59</v>
      </c>
      <c r="U905">
        <v>62</v>
      </c>
    </row>
    <row r="906" spans="1:21" x14ac:dyDescent="0.3">
      <c r="A906">
        <v>914</v>
      </c>
      <c r="B906" t="s">
        <v>87</v>
      </c>
      <c r="C906" t="str">
        <f t="shared" si="57"/>
        <v>10-Feb-2011</v>
      </c>
      <c r="D906">
        <v>1</v>
      </c>
      <c r="E906">
        <v>0</v>
      </c>
      <c r="F906">
        <v>2</v>
      </c>
      <c r="G906" t="str">
        <f t="shared" si="56"/>
        <v>Feb</v>
      </c>
      <c r="H906">
        <v>14</v>
      </c>
      <c r="I906">
        <f t="shared" si="58"/>
        <v>1</v>
      </c>
      <c r="J906" t="s">
        <v>126</v>
      </c>
      <c r="K906">
        <v>4</v>
      </c>
      <c r="L906" t="str">
        <f t="shared" si="59"/>
        <v>Weekday</v>
      </c>
      <c r="M906">
        <v>1</v>
      </c>
      <c r="N906" t="str" cm="1">
        <f t="array" ref="N906">_xlfn.IFS(M906=1,"Sunny Day",M906=2,"Cloudy Day",M906=3,"Rainy Day",M906=4,"Heavy Rain")</f>
        <v>Sunny Day</v>
      </c>
      <c r="O906">
        <v>0.2</v>
      </c>
      <c r="P906">
        <v>0.18179999999999999</v>
      </c>
      <c r="Q906">
        <v>0.27</v>
      </c>
      <c r="R906">
        <v>0.28360000000000002</v>
      </c>
      <c r="S906">
        <v>6</v>
      </c>
      <c r="T906">
        <v>42</v>
      </c>
      <c r="U906">
        <v>48</v>
      </c>
    </row>
    <row r="907" spans="1:21" x14ac:dyDescent="0.3">
      <c r="A907">
        <v>915</v>
      </c>
      <c r="B907" t="s">
        <v>87</v>
      </c>
      <c r="C907" t="str">
        <f t="shared" si="57"/>
        <v>10-Feb-2011</v>
      </c>
      <c r="D907">
        <v>1</v>
      </c>
      <c r="E907">
        <v>0</v>
      </c>
      <c r="F907">
        <v>2</v>
      </c>
      <c r="G907" t="str">
        <f t="shared" si="56"/>
        <v>Feb</v>
      </c>
      <c r="H907">
        <v>15</v>
      </c>
      <c r="I907">
        <f t="shared" si="58"/>
        <v>1</v>
      </c>
      <c r="J907" t="s">
        <v>126</v>
      </c>
      <c r="K907">
        <v>4</v>
      </c>
      <c r="L907" t="str">
        <f t="shared" si="59"/>
        <v>Weekday</v>
      </c>
      <c r="M907">
        <v>1</v>
      </c>
      <c r="N907" t="str" cm="1">
        <f t="array" ref="N907">_xlfn.IFS(M907=1,"Sunny Day",M907=2,"Cloudy Day",M907=3,"Rainy Day",M907=4,"Heavy Rain")</f>
        <v>Sunny Day</v>
      </c>
      <c r="O907">
        <v>0.2</v>
      </c>
      <c r="P907">
        <v>0.19700000000000001</v>
      </c>
      <c r="Q907">
        <v>0.25</v>
      </c>
      <c r="R907">
        <v>0.25369999999999998</v>
      </c>
      <c r="S907">
        <v>0</v>
      </c>
      <c r="T907">
        <v>50</v>
      </c>
      <c r="U907">
        <v>50</v>
      </c>
    </row>
    <row r="908" spans="1:21" x14ac:dyDescent="0.3">
      <c r="A908">
        <v>916</v>
      </c>
      <c r="B908" t="s">
        <v>87</v>
      </c>
      <c r="C908" t="str">
        <f t="shared" si="57"/>
        <v>10-Feb-2011</v>
      </c>
      <c r="D908">
        <v>1</v>
      </c>
      <c r="E908">
        <v>0</v>
      </c>
      <c r="F908">
        <v>2</v>
      </c>
      <c r="G908" t="str">
        <f t="shared" si="56"/>
        <v>Feb</v>
      </c>
      <c r="H908">
        <v>16</v>
      </c>
      <c r="I908">
        <f t="shared" si="58"/>
        <v>1</v>
      </c>
      <c r="J908" t="s">
        <v>126</v>
      </c>
      <c r="K908">
        <v>4</v>
      </c>
      <c r="L908" t="str">
        <f t="shared" si="59"/>
        <v>Weekday</v>
      </c>
      <c r="M908">
        <v>1</v>
      </c>
      <c r="N908" t="str" cm="1">
        <f t="array" ref="N908">_xlfn.IFS(M908=1,"Sunny Day",M908=2,"Cloudy Day",M908=3,"Rainy Day",M908=4,"Heavy Rain")</f>
        <v>Sunny Day</v>
      </c>
      <c r="O908">
        <v>0.2</v>
      </c>
      <c r="P908">
        <v>0.18179999999999999</v>
      </c>
      <c r="Q908">
        <v>0.27</v>
      </c>
      <c r="R908">
        <v>0.29849999999999999</v>
      </c>
      <c r="S908">
        <v>4</v>
      </c>
      <c r="T908">
        <v>76</v>
      </c>
      <c r="U908">
        <v>80</v>
      </c>
    </row>
    <row r="909" spans="1:21" x14ac:dyDescent="0.3">
      <c r="A909">
        <v>917</v>
      </c>
      <c r="B909" t="s">
        <v>87</v>
      </c>
      <c r="C909" t="str">
        <f t="shared" si="57"/>
        <v>10-Feb-2011</v>
      </c>
      <c r="D909">
        <v>1</v>
      </c>
      <c r="E909">
        <v>0</v>
      </c>
      <c r="F909">
        <v>2</v>
      </c>
      <c r="G909" t="str">
        <f t="shared" si="56"/>
        <v>Feb</v>
      </c>
      <c r="H909">
        <v>17</v>
      </c>
      <c r="I909">
        <f t="shared" si="58"/>
        <v>1</v>
      </c>
      <c r="J909" t="s">
        <v>126</v>
      </c>
      <c r="K909">
        <v>4</v>
      </c>
      <c r="L909" t="str">
        <f t="shared" si="59"/>
        <v>Weekday</v>
      </c>
      <c r="M909">
        <v>1</v>
      </c>
      <c r="N909" t="str" cm="1">
        <f t="array" ref="N909">_xlfn.IFS(M909=1,"Sunny Day",M909=2,"Cloudy Day",M909=3,"Rainy Day",M909=4,"Heavy Rain")</f>
        <v>Sunny Day</v>
      </c>
      <c r="O909">
        <v>0.18</v>
      </c>
      <c r="P909">
        <v>0.18179999999999999</v>
      </c>
      <c r="Q909">
        <v>0.26</v>
      </c>
      <c r="R909">
        <v>0.19400000000000001</v>
      </c>
      <c r="S909">
        <v>6</v>
      </c>
      <c r="T909">
        <v>159</v>
      </c>
      <c r="U909">
        <v>165</v>
      </c>
    </row>
    <row r="910" spans="1:21" x14ac:dyDescent="0.3">
      <c r="A910">
        <v>918</v>
      </c>
      <c r="B910" t="s">
        <v>87</v>
      </c>
      <c r="C910" t="str">
        <f t="shared" si="57"/>
        <v>10-Feb-2011</v>
      </c>
      <c r="D910">
        <v>1</v>
      </c>
      <c r="E910">
        <v>0</v>
      </c>
      <c r="F910">
        <v>2</v>
      </c>
      <c r="G910" t="str">
        <f t="shared" si="56"/>
        <v>Feb</v>
      </c>
      <c r="H910">
        <v>18</v>
      </c>
      <c r="I910">
        <f t="shared" si="58"/>
        <v>1</v>
      </c>
      <c r="J910" t="s">
        <v>126</v>
      </c>
      <c r="K910">
        <v>4</v>
      </c>
      <c r="L910" t="str">
        <f t="shared" si="59"/>
        <v>Weekday</v>
      </c>
      <c r="M910">
        <v>1</v>
      </c>
      <c r="N910" t="str" cm="1">
        <f t="array" ref="N910">_xlfn.IFS(M910=1,"Sunny Day",M910=2,"Cloudy Day",M910=3,"Rainy Day",M910=4,"Heavy Rain")</f>
        <v>Sunny Day</v>
      </c>
      <c r="O910">
        <v>0.16</v>
      </c>
      <c r="P910">
        <v>0.18179999999999999</v>
      </c>
      <c r="Q910">
        <v>0.28000000000000003</v>
      </c>
      <c r="R910">
        <v>0.1343</v>
      </c>
      <c r="S910">
        <v>3</v>
      </c>
      <c r="T910">
        <v>157</v>
      </c>
      <c r="U910">
        <v>160</v>
      </c>
    </row>
    <row r="911" spans="1:21" x14ac:dyDescent="0.3">
      <c r="A911">
        <v>919</v>
      </c>
      <c r="B911" t="s">
        <v>87</v>
      </c>
      <c r="C911" t="str">
        <f t="shared" si="57"/>
        <v>10-Feb-2011</v>
      </c>
      <c r="D911">
        <v>1</v>
      </c>
      <c r="E911">
        <v>0</v>
      </c>
      <c r="F911">
        <v>2</v>
      </c>
      <c r="G911" t="str">
        <f t="shared" si="56"/>
        <v>Feb</v>
      </c>
      <c r="H911">
        <v>19</v>
      </c>
      <c r="I911">
        <f t="shared" si="58"/>
        <v>1</v>
      </c>
      <c r="J911" t="s">
        <v>126</v>
      </c>
      <c r="K911">
        <v>4</v>
      </c>
      <c r="L911" t="str">
        <f t="shared" si="59"/>
        <v>Weekday</v>
      </c>
      <c r="M911">
        <v>1</v>
      </c>
      <c r="N911" t="str" cm="1">
        <f t="array" ref="N911">_xlfn.IFS(M911=1,"Sunny Day",M911=2,"Cloudy Day",M911=3,"Rainy Day",M911=4,"Heavy Rain")</f>
        <v>Sunny Day</v>
      </c>
      <c r="O911">
        <v>0.14000000000000001</v>
      </c>
      <c r="P911">
        <v>0.16669999999999999</v>
      </c>
      <c r="Q911">
        <v>0.28000000000000003</v>
      </c>
      <c r="R911">
        <v>0.1045</v>
      </c>
      <c r="S911">
        <v>2</v>
      </c>
      <c r="T911">
        <v>110</v>
      </c>
      <c r="U911">
        <v>112</v>
      </c>
    </row>
    <row r="912" spans="1:21" x14ac:dyDescent="0.3">
      <c r="A912">
        <v>920</v>
      </c>
      <c r="B912" t="s">
        <v>87</v>
      </c>
      <c r="C912" t="str">
        <f t="shared" si="57"/>
        <v>10-Feb-2011</v>
      </c>
      <c r="D912">
        <v>1</v>
      </c>
      <c r="E912">
        <v>0</v>
      </c>
      <c r="F912">
        <v>2</v>
      </c>
      <c r="G912" t="str">
        <f t="shared" si="56"/>
        <v>Feb</v>
      </c>
      <c r="H912">
        <v>20</v>
      </c>
      <c r="I912">
        <f t="shared" si="58"/>
        <v>1</v>
      </c>
      <c r="J912" t="s">
        <v>126</v>
      </c>
      <c r="K912">
        <v>4</v>
      </c>
      <c r="L912" t="str">
        <f t="shared" si="59"/>
        <v>Weekday</v>
      </c>
      <c r="M912">
        <v>1</v>
      </c>
      <c r="N912" t="str" cm="1">
        <f t="array" ref="N912">_xlfn.IFS(M912=1,"Sunny Day",M912=2,"Cloudy Day",M912=3,"Rainy Day",M912=4,"Heavy Rain")</f>
        <v>Sunny Day</v>
      </c>
      <c r="O912">
        <v>0.14000000000000001</v>
      </c>
      <c r="P912">
        <v>0.18179999999999999</v>
      </c>
      <c r="Q912">
        <v>0.31</v>
      </c>
      <c r="R912">
        <v>8.9599999999999999E-2</v>
      </c>
      <c r="S912">
        <v>4</v>
      </c>
      <c r="T912">
        <v>93</v>
      </c>
      <c r="U912">
        <v>97</v>
      </c>
    </row>
    <row r="913" spans="1:21" x14ac:dyDescent="0.3">
      <c r="A913">
        <v>921</v>
      </c>
      <c r="B913" t="s">
        <v>87</v>
      </c>
      <c r="C913" t="str">
        <f t="shared" si="57"/>
        <v>10-Feb-2011</v>
      </c>
      <c r="D913">
        <v>1</v>
      </c>
      <c r="E913">
        <v>0</v>
      </c>
      <c r="F913">
        <v>2</v>
      </c>
      <c r="G913" t="str">
        <f t="shared" si="56"/>
        <v>Feb</v>
      </c>
      <c r="H913">
        <v>21</v>
      </c>
      <c r="I913">
        <f t="shared" si="58"/>
        <v>1</v>
      </c>
      <c r="J913" t="s">
        <v>126</v>
      </c>
      <c r="K913">
        <v>4</v>
      </c>
      <c r="L913" t="str">
        <f t="shared" si="59"/>
        <v>Weekday</v>
      </c>
      <c r="M913">
        <v>1</v>
      </c>
      <c r="N913" t="str" cm="1">
        <f t="array" ref="N913">_xlfn.IFS(M913=1,"Sunny Day",M913=2,"Cloudy Day",M913=3,"Rainy Day",M913=4,"Heavy Rain")</f>
        <v>Sunny Day</v>
      </c>
      <c r="O913">
        <v>0.14000000000000001</v>
      </c>
      <c r="P913">
        <v>0.21210000000000001</v>
      </c>
      <c r="Q913">
        <v>0.39</v>
      </c>
      <c r="R913">
        <v>0</v>
      </c>
      <c r="S913">
        <v>2</v>
      </c>
      <c r="T913">
        <v>70</v>
      </c>
      <c r="U913">
        <v>72</v>
      </c>
    </row>
    <row r="914" spans="1:21" x14ac:dyDescent="0.3">
      <c r="A914">
        <v>922</v>
      </c>
      <c r="B914" t="s">
        <v>87</v>
      </c>
      <c r="C914" t="str">
        <f t="shared" si="57"/>
        <v>10-Feb-2011</v>
      </c>
      <c r="D914">
        <v>1</v>
      </c>
      <c r="E914">
        <v>0</v>
      </c>
      <c r="F914">
        <v>2</v>
      </c>
      <c r="G914" t="str">
        <f t="shared" si="56"/>
        <v>Feb</v>
      </c>
      <c r="H914">
        <v>22</v>
      </c>
      <c r="I914">
        <f t="shared" si="58"/>
        <v>1</v>
      </c>
      <c r="J914" t="s">
        <v>126</v>
      </c>
      <c r="K914">
        <v>4</v>
      </c>
      <c r="L914" t="str">
        <f t="shared" si="59"/>
        <v>Weekday</v>
      </c>
      <c r="M914">
        <v>1</v>
      </c>
      <c r="N914" t="str" cm="1">
        <f t="array" ref="N914">_xlfn.IFS(M914=1,"Sunny Day",M914=2,"Cloudy Day",M914=3,"Rainy Day",M914=4,"Heavy Rain")</f>
        <v>Sunny Day</v>
      </c>
      <c r="O914">
        <v>0.12</v>
      </c>
      <c r="P914">
        <v>0.19700000000000001</v>
      </c>
      <c r="Q914">
        <v>0.39</v>
      </c>
      <c r="R914">
        <v>0</v>
      </c>
      <c r="S914">
        <v>4</v>
      </c>
      <c r="T914">
        <v>47</v>
      </c>
      <c r="U914">
        <v>51</v>
      </c>
    </row>
    <row r="915" spans="1:21" x14ac:dyDescent="0.3">
      <c r="A915">
        <v>923</v>
      </c>
      <c r="B915" t="s">
        <v>87</v>
      </c>
      <c r="C915" t="str">
        <f t="shared" si="57"/>
        <v>10-Feb-2011</v>
      </c>
      <c r="D915">
        <v>1</v>
      </c>
      <c r="E915">
        <v>0</v>
      </c>
      <c r="F915">
        <v>2</v>
      </c>
      <c r="G915" t="str">
        <f t="shared" si="56"/>
        <v>Feb</v>
      </c>
      <c r="H915">
        <v>23</v>
      </c>
      <c r="I915">
        <f t="shared" si="58"/>
        <v>1</v>
      </c>
      <c r="J915" t="s">
        <v>126</v>
      </c>
      <c r="K915">
        <v>4</v>
      </c>
      <c r="L915" t="str">
        <f t="shared" si="59"/>
        <v>Weekday</v>
      </c>
      <c r="M915">
        <v>1</v>
      </c>
      <c r="N915" t="str" cm="1">
        <f t="array" ref="N915">_xlfn.IFS(M915=1,"Sunny Day",M915=2,"Cloudy Day",M915=3,"Rainy Day",M915=4,"Heavy Rain")</f>
        <v>Sunny Day</v>
      </c>
      <c r="O915">
        <v>0.12</v>
      </c>
      <c r="P915">
        <v>0.1515</v>
      </c>
      <c r="Q915">
        <v>0.42</v>
      </c>
      <c r="R915">
        <v>0.1045</v>
      </c>
      <c r="S915">
        <v>1</v>
      </c>
      <c r="T915">
        <v>33</v>
      </c>
      <c r="U915">
        <v>34</v>
      </c>
    </row>
    <row r="916" spans="1:21" x14ac:dyDescent="0.3">
      <c r="A916">
        <v>924</v>
      </c>
      <c r="B916" t="s">
        <v>89</v>
      </c>
      <c r="C916" t="str">
        <f t="shared" si="57"/>
        <v>11-Feb-2011</v>
      </c>
      <c r="D916">
        <v>1</v>
      </c>
      <c r="E916">
        <v>0</v>
      </c>
      <c r="F916">
        <v>2</v>
      </c>
      <c r="G916" t="str">
        <f t="shared" si="56"/>
        <v>Feb</v>
      </c>
      <c r="H916">
        <v>0</v>
      </c>
      <c r="I916">
        <f t="shared" si="58"/>
        <v>0</v>
      </c>
      <c r="J916" t="s">
        <v>126</v>
      </c>
      <c r="K916">
        <v>5</v>
      </c>
      <c r="L916" t="str">
        <f t="shared" si="59"/>
        <v>Weekday</v>
      </c>
      <c r="M916">
        <v>1</v>
      </c>
      <c r="N916" t="str" cm="1">
        <f t="array" ref="N916">_xlfn.IFS(M916=1,"Sunny Day",M916=2,"Cloudy Day",M916=3,"Rainy Day",M916=4,"Heavy Rain")</f>
        <v>Sunny Day</v>
      </c>
      <c r="O916">
        <v>0.1</v>
      </c>
      <c r="P916">
        <v>0.13639999999999999</v>
      </c>
      <c r="Q916">
        <v>0.49</v>
      </c>
      <c r="R916">
        <v>0.1045</v>
      </c>
      <c r="S916">
        <v>2</v>
      </c>
      <c r="T916">
        <v>12</v>
      </c>
      <c r="U916">
        <v>14</v>
      </c>
    </row>
    <row r="917" spans="1:21" x14ac:dyDescent="0.3">
      <c r="A917">
        <v>925</v>
      </c>
      <c r="B917" t="s">
        <v>89</v>
      </c>
      <c r="C917" t="str">
        <f t="shared" si="57"/>
        <v>11-Feb-2011</v>
      </c>
      <c r="D917">
        <v>1</v>
      </c>
      <c r="E917">
        <v>0</v>
      </c>
      <c r="F917">
        <v>2</v>
      </c>
      <c r="G917" t="str">
        <f t="shared" si="56"/>
        <v>Feb</v>
      </c>
      <c r="H917">
        <v>1</v>
      </c>
      <c r="I917">
        <f t="shared" si="58"/>
        <v>0</v>
      </c>
      <c r="J917" t="s">
        <v>126</v>
      </c>
      <c r="K917">
        <v>5</v>
      </c>
      <c r="L917" t="str">
        <f t="shared" si="59"/>
        <v>Weekday</v>
      </c>
      <c r="M917">
        <v>1</v>
      </c>
      <c r="N917" t="str" cm="1">
        <f t="array" ref="N917">_xlfn.IFS(M917=1,"Sunny Day",M917=2,"Cloudy Day",M917=3,"Rainy Day",M917=4,"Heavy Rain")</f>
        <v>Sunny Day</v>
      </c>
      <c r="O917">
        <v>0.1</v>
      </c>
      <c r="P917">
        <v>0.13639999999999999</v>
      </c>
      <c r="Q917">
        <v>0.54</v>
      </c>
      <c r="R917">
        <v>8.9599999999999999E-2</v>
      </c>
      <c r="S917">
        <v>1</v>
      </c>
      <c r="T917">
        <v>6</v>
      </c>
      <c r="U917">
        <v>7</v>
      </c>
    </row>
    <row r="918" spans="1:21" x14ac:dyDescent="0.3">
      <c r="A918">
        <v>926</v>
      </c>
      <c r="B918" t="s">
        <v>89</v>
      </c>
      <c r="C918" t="str">
        <f t="shared" si="57"/>
        <v>11-Feb-2011</v>
      </c>
      <c r="D918">
        <v>1</v>
      </c>
      <c r="E918">
        <v>0</v>
      </c>
      <c r="F918">
        <v>2</v>
      </c>
      <c r="G918" t="str">
        <f t="shared" si="56"/>
        <v>Feb</v>
      </c>
      <c r="H918">
        <v>2</v>
      </c>
      <c r="I918">
        <f t="shared" si="58"/>
        <v>0</v>
      </c>
      <c r="J918" t="s">
        <v>126</v>
      </c>
      <c r="K918">
        <v>5</v>
      </c>
      <c r="L918" t="str">
        <f t="shared" si="59"/>
        <v>Weekday</v>
      </c>
      <c r="M918">
        <v>1</v>
      </c>
      <c r="N918" t="str" cm="1">
        <f t="array" ref="N918">_xlfn.IFS(M918=1,"Sunny Day",M918=2,"Cloudy Day",M918=3,"Rainy Day",M918=4,"Heavy Rain")</f>
        <v>Sunny Day</v>
      </c>
      <c r="O918">
        <v>0.1</v>
      </c>
      <c r="P918">
        <v>0.13639999999999999</v>
      </c>
      <c r="Q918">
        <v>0.54</v>
      </c>
      <c r="R918">
        <v>8.9599999999999999E-2</v>
      </c>
      <c r="S918">
        <v>0</v>
      </c>
      <c r="T918">
        <v>3</v>
      </c>
      <c r="U918">
        <v>3</v>
      </c>
    </row>
    <row r="919" spans="1:21" x14ac:dyDescent="0.3">
      <c r="A919">
        <v>927</v>
      </c>
      <c r="B919" t="s">
        <v>89</v>
      </c>
      <c r="C919" t="str">
        <f t="shared" si="57"/>
        <v>11-Feb-2011</v>
      </c>
      <c r="D919">
        <v>1</v>
      </c>
      <c r="E919">
        <v>0</v>
      </c>
      <c r="F919">
        <v>2</v>
      </c>
      <c r="G919" t="str">
        <f t="shared" si="56"/>
        <v>Feb</v>
      </c>
      <c r="H919">
        <v>5</v>
      </c>
      <c r="I919">
        <f t="shared" si="58"/>
        <v>0</v>
      </c>
      <c r="J919" t="s">
        <v>126</v>
      </c>
      <c r="K919">
        <v>5</v>
      </c>
      <c r="L919" t="str">
        <f t="shared" si="59"/>
        <v>Weekday</v>
      </c>
      <c r="M919">
        <v>1</v>
      </c>
      <c r="N919" t="str" cm="1">
        <f t="array" ref="N919">_xlfn.IFS(M919=1,"Sunny Day",M919=2,"Cloudy Day",M919=3,"Rainy Day",M919=4,"Heavy Rain")</f>
        <v>Sunny Day</v>
      </c>
      <c r="O919">
        <v>0.08</v>
      </c>
      <c r="P919">
        <v>0.1212</v>
      </c>
      <c r="Q919">
        <v>0.63</v>
      </c>
      <c r="R919">
        <v>8.9599999999999999E-2</v>
      </c>
      <c r="S919">
        <v>0</v>
      </c>
      <c r="T919">
        <v>4</v>
      </c>
      <c r="U919">
        <v>4</v>
      </c>
    </row>
    <row r="920" spans="1:21" x14ac:dyDescent="0.3">
      <c r="A920">
        <v>928</v>
      </c>
      <c r="B920" t="s">
        <v>89</v>
      </c>
      <c r="C920" t="str">
        <f t="shared" si="57"/>
        <v>11-Feb-2011</v>
      </c>
      <c r="D920">
        <v>1</v>
      </c>
      <c r="E920">
        <v>0</v>
      </c>
      <c r="F920">
        <v>2</v>
      </c>
      <c r="G920" t="str">
        <f t="shared" si="56"/>
        <v>Feb</v>
      </c>
      <c r="H920">
        <v>6</v>
      </c>
      <c r="I920">
        <f t="shared" si="58"/>
        <v>0</v>
      </c>
      <c r="J920" t="s">
        <v>126</v>
      </c>
      <c r="K920">
        <v>5</v>
      </c>
      <c r="L920" t="str">
        <f t="shared" si="59"/>
        <v>Weekday</v>
      </c>
      <c r="M920">
        <v>1</v>
      </c>
      <c r="N920" t="str" cm="1">
        <f t="array" ref="N920">_xlfn.IFS(M920=1,"Sunny Day",M920=2,"Cloudy Day",M920=3,"Rainy Day",M920=4,"Heavy Rain")</f>
        <v>Sunny Day</v>
      </c>
      <c r="O920">
        <v>0.1</v>
      </c>
      <c r="P920">
        <v>0.18179999999999999</v>
      </c>
      <c r="Q920">
        <v>0.68</v>
      </c>
      <c r="R920">
        <v>0</v>
      </c>
      <c r="S920">
        <v>1</v>
      </c>
      <c r="T920">
        <v>23</v>
      </c>
      <c r="U920">
        <v>24</v>
      </c>
    </row>
    <row r="921" spans="1:21" x14ac:dyDescent="0.3">
      <c r="A921">
        <v>929</v>
      </c>
      <c r="B921" t="s">
        <v>89</v>
      </c>
      <c r="C921" t="str">
        <f t="shared" si="57"/>
        <v>11-Feb-2011</v>
      </c>
      <c r="D921">
        <v>1</v>
      </c>
      <c r="E921">
        <v>0</v>
      </c>
      <c r="F921">
        <v>2</v>
      </c>
      <c r="G921" t="str">
        <f t="shared" si="56"/>
        <v>Feb</v>
      </c>
      <c r="H921">
        <v>7</v>
      </c>
      <c r="I921">
        <f t="shared" si="58"/>
        <v>0</v>
      </c>
      <c r="J921" t="s">
        <v>126</v>
      </c>
      <c r="K921">
        <v>5</v>
      </c>
      <c r="L921" t="str">
        <f t="shared" si="59"/>
        <v>Weekday</v>
      </c>
      <c r="M921">
        <v>1</v>
      </c>
      <c r="N921" t="str" cm="1">
        <f t="array" ref="N921">_xlfn.IFS(M921=1,"Sunny Day",M921=2,"Cloudy Day",M921=3,"Rainy Day",M921=4,"Heavy Rain")</f>
        <v>Sunny Day</v>
      </c>
      <c r="O921">
        <v>0.08</v>
      </c>
      <c r="P921">
        <v>0.16669999999999999</v>
      </c>
      <c r="Q921">
        <v>0.73</v>
      </c>
      <c r="R921">
        <v>0</v>
      </c>
      <c r="S921">
        <v>1</v>
      </c>
      <c r="T921">
        <v>73</v>
      </c>
      <c r="U921">
        <v>74</v>
      </c>
    </row>
    <row r="922" spans="1:21" x14ac:dyDescent="0.3">
      <c r="A922">
        <v>930</v>
      </c>
      <c r="B922" t="s">
        <v>89</v>
      </c>
      <c r="C922" t="str">
        <f t="shared" si="57"/>
        <v>11-Feb-2011</v>
      </c>
      <c r="D922">
        <v>1</v>
      </c>
      <c r="E922">
        <v>0</v>
      </c>
      <c r="F922">
        <v>2</v>
      </c>
      <c r="G922" t="str">
        <f t="shared" si="56"/>
        <v>Feb</v>
      </c>
      <c r="H922">
        <v>8</v>
      </c>
      <c r="I922">
        <f t="shared" si="58"/>
        <v>0</v>
      </c>
      <c r="J922" t="s">
        <v>126</v>
      </c>
      <c r="K922">
        <v>5</v>
      </c>
      <c r="L922" t="str">
        <f t="shared" si="59"/>
        <v>Weekday</v>
      </c>
      <c r="M922">
        <v>1</v>
      </c>
      <c r="N922" t="str" cm="1">
        <f t="array" ref="N922">_xlfn.IFS(M922=1,"Sunny Day",M922=2,"Cloudy Day",M922=3,"Rainy Day",M922=4,"Heavy Rain")</f>
        <v>Sunny Day</v>
      </c>
      <c r="O922">
        <v>0.1</v>
      </c>
      <c r="P922">
        <v>0.1212</v>
      </c>
      <c r="Q922">
        <v>0.74</v>
      </c>
      <c r="R922">
        <v>0.16420000000000001</v>
      </c>
      <c r="S922">
        <v>4</v>
      </c>
      <c r="T922">
        <v>212</v>
      </c>
      <c r="U922">
        <v>216</v>
      </c>
    </row>
    <row r="923" spans="1:21" x14ac:dyDescent="0.3">
      <c r="A923">
        <v>931</v>
      </c>
      <c r="B923" t="s">
        <v>89</v>
      </c>
      <c r="C923" t="str">
        <f t="shared" si="57"/>
        <v>11-Feb-2011</v>
      </c>
      <c r="D923">
        <v>1</v>
      </c>
      <c r="E923">
        <v>0</v>
      </c>
      <c r="F923">
        <v>2</v>
      </c>
      <c r="G923" t="str">
        <f t="shared" si="56"/>
        <v>Feb</v>
      </c>
      <c r="H923">
        <v>9</v>
      </c>
      <c r="I923">
        <f t="shared" si="58"/>
        <v>0</v>
      </c>
      <c r="J923" t="s">
        <v>126</v>
      </c>
      <c r="K923">
        <v>5</v>
      </c>
      <c r="L923" t="str">
        <f t="shared" si="59"/>
        <v>Weekday</v>
      </c>
      <c r="M923">
        <v>1</v>
      </c>
      <c r="N923" t="str" cm="1">
        <f t="array" ref="N923">_xlfn.IFS(M923=1,"Sunny Day",M923=2,"Cloudy Day",M923=3,"Rainy Day",M923=4,"Heavy Rain")</f>
        <v>Sunny Day</v>
      </c>
      <c r="O923">
        <v>0.12</v>
      </c>
      <c r="P923">
        <v>0.1212</v>
      </c>
      <c r="Q923">
        <v>0.74</v>
      </c>
      <c r="R923">
        <v>0.22389999999999999</v>
      </c>
      <c r="S923">
        <v>8</v>
      </c>
      <c r="T923">
        <v>132</v>
      </c>
      <c r="U923">
        <v>140</v>
      </c>
    </row>
    <row r="924" spans="1:21" x14ac:dyDescent="0.3">
      <c r="A924">
        <v>932</v>
      </c>
      <c r="B924" t="s">
        <v>89</v>
      </c>
      <c r="C924" t="str">
        <f t="shared" si="57"/>
        <v>11-Feb-2011</v>
      </c>
      <c r="D924">
        <v>1</v>
      </c>
      <c r="E924">
        <v>0</v>
      </c>
      <c r="F924">
        <v>2</v>
      </c>
      <c r="G924" t="str">
        <f t="shared" si="56"/>
        <v>Feb</v>
      </c>
      <c r="H924">
        <v>10</v>
      </c>
      <c r="I924">
        <f t="shared" si="58"/>
        <v>0</v>
      </c>
      <c r="J924" t="s">
        <v>126</v>
      </c>
      <c r="K924">
        <v>5</v>
      </c>
      <c r="L924" t="str">
        <f t="shared" si="59"/>
        <v>Weekday</v>
      </c>
      <c r="M924">
        <v>1</v>
      </c>
      <c r="N924" t="str" cm="1">
        <f t="array" ref="N924">_xlfn.IFS(M924=1,"Sunny Day",M924=2,"Cloudy Day",M924=3,"Rainy Day",M924=4,"Heavy Rain")</f>
        <v>Sunny Day</v>
      </c>
      <c r="O924">
        <v>0.14000000000000001</v>
      </c>
      <c r="P924">
        <v>0.13639999999999999</v>
      </c>
      <c r="Q924">
        <v>0.69</v>
      </c>
      <c r="R924">
        <v>0.19400000000000001</v>
      </c>
      <c r="S924">
        <v>5</v>
      </c>
      <c r="T924">
        <v>39</v>
      </c>
      <c r="U924">
        <v>44</v>
      </c>
    </row>
    <row r="925" spans="1:21" x14ac:dyDescent="0.3">
      <c r="A925">
        <v>933</v>
      </c>
      <c r="B925" t="s">
        <v>89</v>
      </c>
      <c r="C925" t="str">
        <f t="shared" si="57"/>
        <v>11-Feb-2011</v>
      </c>
      <c r="D925">
        <v>1</v>
      </c>
      <c r="E925">
        <v>0</v>
      </c>
      <c r="F925">
        <v>2</v>
      </c>
      <c r="G925" t="str">
        <f t="shared" si="56"/>
        <v>Feb</v>
      </c>
      <c r="H925">
        <v>11</v>
      </c>
      <c r="I925">
        <f t="shared" si="58"/>
        <v>1</v>
      </c>
      <c r="J925" t="s">
        <v>126</v>
      </c>
      <c r="K925">
        <v>5</v>
      </c>
      <c r="L925" t="str">
        <f t="shared" si="59"/>
        <v>Weekday</v>
      </c>
      <c r="M925">
        <v>1</v>
      </c>
      <c r="N925" t="str" cm="1">
        <f t="array" ref="N925">_xlfn.IFS(M925=1,"Sunny Day",M925=2,"Cloudy Day",M925=3,"Rainy Day",M925=4,"Heavy Rain")</f>
        <v>Sunny Day</v>
      </c>
      <c r="O925">
        <v>0.22</v>
      </c>
      <c r="P925">
        <v>0.2273</v>
      </c>
      <c r="Q925">
        <v>0.47</v>
      </c>
      <c r="R925">
        <v>0.1343</v>
      </c>
      <c r="S925">
        <v>12</v>
      </c>
      <c r="T925">
        <v>52</v>
      </c>
      <c r="U925">
        <v>64</v>
      </c>
    </row>
    <row r="926" spans="1:21" x14ac:dyDescent="0.3">
      <c r="A926">
        <v>934</v>
      </c>
      <c r="B926" t="s">
        <v>89</v>
      </c>
      <c r="C926" t="str">
        <f t="shared" si="57"/>
        <v>11-Feb-2011</v>
      </c>
      <c r="D926">
        <v>1</v>
      </c>
      <c r="E926">
        <v>0</v>
      </c>
      <c r="F926">
        <v>2</v>
      </c>
      <c r="G926" t="str">
        <f t="shared" si="56"/>
        <v>Feb</v>
      </c>
      <c r="H926">
        <v>12</v>
      </c>
      <c r="I926">
        <f t="shared" si="58"/>
        <v>1</v>
      </c>
      <c r="J926" t="s">
        <v>126</v>
      </c>
      <c r="K926">
        <v>5</v>
      </c>
      <c r="L926" t="str">
        <f t="shared" si="59"/>
        <v>Weekday</v>
      </c>
      <c r="M926">
        <v>1</v>
      </c>
      <c r="N926" t="str" cm="1">
        <f t="array" ref="N926">_xlfn.IFS(M926=1,"Sunny Day",M926=2,"Cloudy Day",M926=3,"Rainy Day",M926=4,"Heavy Rain")</f>
        <v>Sunny Day</v>
      </c>
      <c r="O926">
        <v>0.22</v>
      </c>
      <c r="P926">
        <v>0.2273</v>
      </c>
      <c r="Q926">
        <v>0.47</v>
      </c>
      <c r="R926">
        <v>0.1343</v>
      </c>
      <c r="S926">
        <v>7</v>
      </c>
      <c r="T926">
        <v>64</v>
      </c>
      <c r="U926">
        <v>71</v>
      </c>
    </row>
    <row r="927" spans="1:21" x14ac:dyDescent="0.3">
      <c r="A927">
        <v>935</v>
      </c>
      <c r="B927" t="s">
        <v>89</v>
      </c>
      <c r="C927" t="str">
        <f t="shared" si="57"/>
        <v>11-Feb-2011</v>
      </c>
      <c r="D927">
        <v>1</v>
      </c>
      <c r="E927">
        <v>0</v>
      </c>
      <c r="F927">
        <v>2</v>
      </c>
      <c r="G927" t="str">
        <f t="shared" si="56"/>
        <v>Feb</v>
      </c>
      <c r="H927">
        <v>13</v>
      </c>
      <c r="I927">
        <f t="shared" si="58"/>
        <v>1</v>
      </c>
      <c r="J927" t="s">
        <v>126</v>
      </c>
      <c r="K927">
        <v>5</v>
      </c>
      <c r="L927" t="str">
        <f t="shared" si="59"/>
        <v>Weekday</v>
      </c>
      <c r="M927">
        <v>1</v>
      </c>
      <c r="N927" t="str" cm="1">
        <f t="array" ref="N927">_xlfn.IFS(M927=1,"Sunny Day",M927=2,"Cloudy Day",M927=3,"Rainy Day",M927=4,"Heavy Rain")</f>
        <v>Sunny Day</v>
      </c>
      <c r="O927">
        <v>0.24</v>
      </c>
      <c r="P927">
        <v>0.2273</v>
      </c>
      <c r="Q927">
        <v>0.35</v>
      </c>
      <c r="R927">
        <v>0.19400000000000001</v>
      </c>
      <c r="S927">
        <v>21</v>
      </c>
      <c r="T927">
        <v>89</v>
      </c>
      <c r="U927">
        <v>110</v>
      </c>
    </row>
    <row r="928" spans="1:21" x14ac:dyDescent="0.3">
      <c r="A928">
        <v>936</v>
      </c>
      <c r="B928" t="s">
        <v>89</v>
      </c>
      <c r="C928" t="str">
        <f t="shared" si="57"/>
        <v>11-Feb-2011</v>
      </c>
      <c r="D928">
        <v>1</v>
      </c>
      <c r="E928">
        <v>0</v>
      </c>
      <c r="F928">
        <v>2</v>
      </c>
      <c r="G928" t="str">
        <f t="shared" si="56"/>
        <v>Feb</v>
      </c>
      <c r="H928">
        <v>14</v>
      </c>
      <c r="I928">
        <f t="shared" si="58"/>
        <v>1</v>
      </c>
      <c r="J928" t="s">
        <v>126</v>
      </c>
      <c r="K928">
        <v>5</v>
      </c>
      <c r="L928" t="str">
        <f t="shared" si="59"/>
        <v>Weekday</v>
      </c>
      <c r="M928">
        <v>1</v>
      </c>
      <c r="N928" t="str" cm="1">
        <f t="array" ref="N928">_xlfn.IFS(M928=1,"Sunny Day",M928=2,"Cloudy Day",M928=3,"Rainy Day",M928=4,"Heavy Rain")</f>
        <v>Sunny Day</v>
      </c>
      <c r="O928">
        <v>0.3</v>
      </c>
      <c r="P928">
        <v>0.28789999999999999</v>
      </c>
      <c r="Q928">
        <v>0.26</v>
      </c>
      <c r="R928">
        <v>0.25369999999999998</v>
      </c>
      <c r="S928">
        <v>17</v>
      </c>
      <c r="T928">
        <v>67</v>
      </c>
      <c r="U928">
        <v>84</v>
      </c>
    </row>
    <row r="929" spans="1:21" x14ac:dyDescent="0.3">
      <c r="A929">
        <v>937</v>
      </c>
      <c r="B929" t="s">
        <v>89</v>
      </c>
      <c r="C929" t="str">
        <f t="shared" si="57"/>
        <v>11-Feb-2011</v>
      </c>
      <c r="D929">
        <v>1</v>
      </c>
      <c r="E929">
        <v>0</v>
      </c>
      <c r="F929">
        <v>2</v>
      </c>
      <c r="G929" t="str">
        <f t="shared" si="56"/>
        <v>Feb</v>
      </c>
      <c r="H929">
        <v>15</v>
      </c>
      <c r="I929">
        <f t="shared" si="58"/>
        <v>1</v>
      </c>
      <c r="J929" t="s">
        <v>126</v>
      </c>
      <c r="K929">
        <v>5</v>
      </c>
      <c r="L929" t="str">
        <f t="shared" si="59"/>
        <v>Weekday</v>
      </c>
      <c r="M929">
        <v>1</v>
      </c>
      <c r="N929" t="str" cm="1">
        <f t="array" ref="N929">_xlfn.IFS(M929=1,"Sunny Day",M929=2,"Cloudy Day",M929=3,"Rainy Day",M929=4,"Heavy Rain")</f>
        <v>Sunny Day</v>
      </c>
      <c r="O929">
        <v>0.32</v>
      </c>
      <c r="P929">
        <v>0.31819999999999998</v>
      </c>
      <c r="Q929">
        <v>0.21</v>
      </c>
      <c r="R929">
        <v>0.16420000000000001</v>
      </c>
      <c r="S929">
        <v>12</v>
      </c>
      <c r="T929">
        <v>62</v>
      </c>
      <c r="U929">
        <v>74</v>
      </c>
    </row>
    <row r="930" spans="1:21" x14ac:dyDescent="0.3">
      <c r="A930">
        <v>938</v>
      </c>
      <c r="B930" t="s">
        <v>89</v>
      </c>
      <c r="C930" t="str">
        <f t="shared" si="57"/>
        <v>11-Feb-2011</v>
      </c>
      <c r="D930">
        <v>1</v>
      </c>
      <c r="E930">
        <v>0</v>
      </c>
      <c r="F930">
        <v>2</v>
      </c>
      <c r="G930" t="str">
        <f t="shared" si="56"/>
        <v>Feb</v>
      </c>
      <c r="H930">
        <v>16</v>
      </c>
      <c r="I930">
        <f t="shared" si="58"/>
        <v>1</v>
      </c>
      <c r="J930" t="s">
        <v>126</v>
      </c>
      <c r="K930">
        <v>5</v>
      </c>
      <c r="L930" t="str">
        <f t="shared" si="59"/>
        <v>Weekday</v>
      </c>
      <c r="M930">
        <v>1</v>
      </c>
      <c r="N930" t="str" cm="1">
        <f t="array" ref="N930">_xlfn.IFS(M930=1,"Sunny Day",M930=2,"Cloudy Day",M930=3,"Rainy Day",M930=4,"Heavy Rain")</f>
        <v>Sunny Day</v>
      </c>
      <c r="O930">
        <v>0.3</v>
      </c>
      <c r="P930">
        <v>0.28789999999999999</v>
      </c>
      <c r="Q930">
        <v>0.28000000000000003</v>
      </c>
      <c r="R930">
        <v>0.19400000000000001</v>
      </c>
      <c r="S930">
        <v>14</v>
      </c>
      <c r="T930">
        <v>111</v>
      </c>
      <c r="U930">
        <v>125</v>
      </c>
    </row>
    <row r="931" spans="1:21" x14ac:dyDescent="0.3">
      <c r="A931">
        <v>939</v>
      </c>
      <c r="B931" t="s">
        <v>89</v>
      </c>
      <c r="C931" t="str">
        <f t="shared" si="57"/>
        <v>11-Feb-2011</v>
      </c>
      <c r="D931">
        <v>1</v>
      </c>
      <c r="E931">
        <v>0</v>
      </c>
      <c r="F931">
        <v>2</v>
      </c>
      <c r="G931" t="str">
        <f t="shared" si="56"/>
        <v>Feb</v>
      </c>
      <c r="H931">
        <v>17</v>
      </c>
      <c r="I931">
        <f t="shared" si="58"/>
        <v>1</v>
      </c>
      <c r="J931" t="s">
        <v>126</v>
      </c>
      <c r="K931">
        <v>5</v>
      </c>
      <c r="L931" t="str">
        <f t="shared" si="59"/>
        <v>Weekday</v>
      </c>
      <c r="M931">
        <v>1</v>
      </c>
      <c r="N931" t="str" cm="1">
        <f t="array" ref="N931">_xlfn.IFS(M931=1,"Sunny Day",M931=2,"Cloudy Day",M931=3,"Rainy Day",M931=4,"Heavy Rain")</f>
        <v>Sunny Day</v>
      </c>
      <c r="O931">
        <v>0.3</v>
      </c>
      <c r="P931">
        <v>0.33329999999999999</v>
      </c>
      <c r="Q931">
        <v>0.24</v>
      </c>
      <c r="R931">
        <v>0</v>
      </c>
      <c r="S931">
        <v>18</v>
      </c>
      <c r="T931">
        <v>193</v>
      </c>
      <c r="U931">
        <v>211</v>
      </c>
    </row>
    <row r="932" spans="1:21" x14ac:dyDescent="0.3">
      <c r="A932">
        <v>940</v>
      </c>
      <c r="B932" t="s">
        <v>89</v>
      </c>
      <c r="C932" t="str">
        <f t="shared" si="57"/>
        <v>11-Feb-2011</v>
      </c>
      <c r="D932">
        <v>1</v>
      </c>
      <c r="E932">
        <v>0</v>
      </c>
      <c r="F932">
        <v>2</v>
      </c>
      <c r="G932" t="str">
        <f t="shared" si="56"/>
        <v>Feb</v>
      </c>
      <c r="H932">
        <v>18</v>
      </c>
      <c r="I932">
        <f t="shared" si="58"/>
        <v>1</v>
      </c>
      <c r="J932" t="s">
        <v>126</v>
      </c>
      <c r="K932">
        <v>5</v>
      </c>
      <c r="L932" t="str">
        <f t="shared" si="59"/>
        <v>Weekday</v>
      </c>
      <c r="M932">
        <v>1</v>
      </c>
      <c r="N932" t="str" cm="1">
        <f t="array" ref="N932">_xlfn.IFS(M932=1,"Sunny Day",M932=2,"Cloudy Day",M932=3,"Rainy Day",M932=4,"Heavy Rain")</f>
        <v>Sunny Day</v>
      </c>
      <c r="O932">
        <v>0.28000000000000003</v>
      </c>
      <c r="P932">
        <v>0.31819999999999998</v>
      </c>
      <c r="Q932">
        <v>0.28000000000000003</v>
      </c>
      <c r="R932">
        <v>0</v>
      </c>
      <c r="S932">
        <v>9</v>
      </c>
      <c r="T932">
        <v>165</v>
      </c>
      <c r="U932">
        <v>174</v>
      </c>
    </row>
    <row r="933" spans="1:21" x14ac:dyDescent="0.3">
      <c r="A933">
        <v>941</v>
      </c>
      <c r="B933" t="s">
        <v>89</v>
      </c>
      <c r="C933" t="str">
        <f t="shared" si="57"/>
        <v>11-Feb-2011</v>
      </c>
      <c r="D933">
        <v>1</v>
      </c>
      <c r="E933">
        <v>0</v>
      </c>
      <c r="F933">
        <v>2</v>
      </c>
      <c r="G933" t="str">
        <f t="shared" si="56"/>
        <v>Feb</v>
      </c>
      <c r="H933">
        <v>19</v>
      </c>
      <c r="I933">
        <f t="shared" si="58"/>
        <v>1</v>
      </c>
      <c r="J933" t="s">
        <v>126</v>
      </c>
      <c r="K933">
        <v>5</v>
      </c>
      <c r="L933" t="str">
        <f t="shared" si="59"/>
        <v>Weekday</v>
      </c>
      <c r="M933">
        <v>1</v>
      </c>
      <c r="N933" t="str" cm="1">
        <f t="array" ref="N933">_xlfn.IFS(M933=1,"Sunny Day",M933=2,"Cloudy Day",M933=3,"Rainy Day",M933=4,"Heavy Rain")</f>
        <v>Sunny Day</v>
      </c>
      <c r="O933">
        <v>0.26</v>
      </c>
      <c r="P933">
        <v>0.30299999999999999</v>
      </c>
      <c r="Q933">
        <v>0.33</v>
      </c>
      <c r="R933">
        <v>0</v>
      </c>
      <c r="S933">
        <v>7</v>
      </c>
      <c r="T933">
        <v>94</v>
      </c>
      <c r="U933">
        <v>101</v>
      </c>
    </row>
    <row r="934" spans="1:21" x14ac:dyDescent="0.3">
      <c r="A934">
        <v>942</v>
      </c>
      <c r="B934" t="s">
        <v>89</v>
      </c>
      <c r="C934" t="str">
        <f t="shared" si="57"/>
        <v>11-Feb-2011</v>
      </c>
      <c r="D934">
        <v>1</v>
      </c>
      <c r="E934">
        <v>0</v>
      </c>
      <c r="F934">
        <v>2</v>
      </c>
      <c r="G934" t="str">
        <f t="shared" si="56"/>
        <v>Feb</v>
      </c>
      <c r="H934">
        <v>20</v>
      </c>
      <c r="I934">
        <f t="shared" si="58"/>
        <v>1</v>
      </c>
      <c r="J934" t="s">
        <v>126</v>
      </c>
      <c r="K934">
        <v>5</v>
      </c>
      <c r="L934" t="str">
        <f t="shared" si="59"/>
        <v>Weekday</v>
      </c>
      <c r="M934">
        <v>1</v>
      </c>
      <c r="N934" t="str" cm="1">
        <f t="array" ref="N934">_xlfn.IFS(M934=1,"Sunny Day",M934=2,"Cloudy Day",M934=3,"Rainy Day",M934=4,"Heavy Rain")</f>
        <v>Sunny Day</v>
      </c>
      <c r="O934">
        <v>0.22</v>
      </c>
      <c r="P934">
        <v>0.2273</v>
      </c>
      <c r="Q934">
        <v>0.55000000000000004</v>
      </c>
      <c r="R934">
        <v>0.1343</v>
      </c>
      <c r="S934">
        <v>2</v>
      </c>
      <c r="T934">
        <v>61</v>
      </c>
      <c r="U934">
        <v>63</v>
      </c>
    </row>
    <row r="935" spans="1:21" x14ac:dyDescent="0.3">
      <c r="A935">
        <v>943</v>
      </c>
      <c r="B935" t="s">
        <v>89</v>
      </c>
      <c r="C935" t="str">
        <f t="shared" si="57"/>
        <v>11-Feb-2011</v>
      </c>
      <c r="D935">
        <v>1</v>
      </c>
      <c r="E935">
        <v>0</v>
      </c>
      <c r="F935">
        <v>2</v>
      </c>
      <c r="G935" t="str">
        <f t="shared" si="56"/>
        <v>Feb</v>
      </c>
      <c r="H935">
        <v>21</v>
      </c>
      <c r="I935">
        <f t="shared" si="58"/>
        <v>1</v>
      </c>
      <c r="J935" t="s">
        <v>126</v>
      </c>
      <c r="K935">
        <v>5</v>
      </c>
      <c r="L935" t="str">
        <f t="shared" si="59"/>
        <v>Weekday</v>
      </c>
      <c r="M935">
        <v>1</v>
      </c>
      <c r="N935" t="str" cm="1">
        <f t="array" ref="N935">_xlfn.IFS(M935=1,"Sunny Day",M935=2,"Cloudy Day",M935=3,"Rainy Day",M935=4,"Heavy Rain")</f>
        <v>Sunny Day</v>
      </c>
      <c r="O935">
        <v>0.2</v>
      </c>
      <c r="P935">
        <v>0.21210000000000001</v>
      </c>
      <c r="Q935">
        <v>0.59</v>
      </c>
      <c r="R935">
        <v>0.1343</v>
      </c>
      <c r="S935">
        <v>1</v>
      </c>
      <c r="T935">
        <v>46</v>
      </c>
      <c r="U935">
        <v>47</v>
      </c>
    </row>
    <row r="936" spans="1:21" x14ac:dyDescent="0.3">
      <c r="A936">
        <v>944</v>
      </c>
      <c r="B936" t="s">
        <v>89</v>
      </c>
      <c r="C936" t="str">
        <f t="shared" si="57"/>
        <v>11-Feb-2011</v>
      </c>
      <c r="D936">
        <v>1</v>
      </c>
      <c r="E936">
        <v>0</v>
      </c>
      <c r="F936">
        <v>2</v>
      </c>
      <c r="G936" t="str">
        <f t="shared" si="56"/>
        <v>Feb</v>
      </c>
      <c r="H936">
        <v>22</v>
      </c>
      <c r="I936">
        <f t="shared" si="58"/>
        <v>1</v>
      </c>
      <c r="J936" t="s">
        <v>126</v>
      </c>
      <c r="K936">
        <v>5</v>
      </c>
      <c r="L936" t="str">
        <f t="shared" si="59"/>
        <v>Weekday</v>
      </c>
      <c r="M936">
        <v>1</v>
      </c>
      <c r="N936" t="str" cm="1">
        <f t="array" ref="N936">_xlfn.IFS(M936=1,"Sunny Day",M936=2,"Cloudy Day",M936=3,"Rainy Day",M936=4,"Heavy Rain")</f>
        <v>Sunny Day</v>
      </c>
      <c r="O936">
        <v>0.2</v>
      </c>
      <c r="P936">
        <v>0.2273</v>
      </c>
      <c r="Q936">
        <v>0.64</v>
      </c>
      <c r="R936">
        <v>8.9599999999999999E-2</v>
      </c>
      <c r="S936">
        <v>2</v>
      </c>
      <c r="T936">
        <v>41</v>
      </c>
      <c r="U936">
        <v>43</v>
      </c>
    </row>
    <row r="937" spans="1:21" x14ac:dyDescent="0.3">
      <c r="A937">
        <v>945</v>
      </c>
      <c r="B937" t="s">
        <v>89</v>
      </c>
      <c r="C937" t="str">
        <f t="shared" si="57"/>
        <v>11-Feb-2011</v>
      </c>
      <c r="D937">
        <v>1</v>
      </c>
      <c r="E937">
        <v>0</v>
      </c>
      <c r="F937">
        <v>2</v>
      </c>
      <c r="G937" t="str">
        <f t="shared" si="56"/>
        <v>Feb</v>
      </c>
      <c r="H937">
        <v>23</v>
      </c>
      <c r="I937">
        <f t="shared" si="58"/>
        <v>1</v>
      </c>
      <c r="J937" t="s">
        <v>126</v>
      </c>
      <c r="K937">
        <v>5</v>
      </c>
      <c r="L937" t="str">
        <f t="shared" si="59"/>
        <v>Weekday</v>
      </c>
      <c r="M937">
        <v>1</v>
      </c>
      <c r="N937" t="str" cm="1">
        <f t="array" ref="N937">_xlfn.IFS(M937=1,"Sunny Day",M937=2,"Cloudy Day",M937=3,"Rainy Day",M937=4,"Heavy Rain")</f>
        <v>Sunny Day</v>
      </c>
      <c r="O937">
        <v>0.18</v>
      </c>
      <c r="P937">
        <v>0.2424</v>
      </c>
      <c r="Q937">
        <v>0.69</v>
      </c>
      <c r="R937">
        <v>0</v>
      </c>
      <c r="S937">
        <v>5</v>
      </c>
      <c r="T937">
        <v>48</v>
      </c>
      <c r="U937">
        <v>53</v>
      </c>
    </row>
    <row r="938" spans="1:21" x14ac:dyDescent="0.3">
      <c r="A938">
        <v>946</v>
      </c>
      <c r="B938" t="s">
        <v>91</v>
      </c>
      <c r="C938" t="str">
        <f t="shared" si="57"/>
        <v>12-Feb-2011</v>
      </c>
      <c r="D938">
        <v>1</v>
      </c>
      <c r="E938">
        <v>0</v>
      </c>
      <c r="F938">
        <v>2</v>
      </c>
      <c r="G938" t="str">
        <f t="shared" si="56"/>
        <v>Feb</v>
      </c>
      <c r="H938">
        <v>0</v>
      </c>
      <c r="I938">
        <f t="shared" si="58"/>
        <v>0</v>
      </c>
      <c r="J938" t="s">
        <v>125</v>
      </c>
      <c r="K938">
        <v>6</v>
      </c>
      <c r="L938" t="str">
        <f t="shared" si="59"/>
        <v>Weekend</v>
      </c>
      <c r="M938">
        <v>1</v>
      </c>
      <c r="N938" t="str" cm="1">
        <f t="array" ref="N938">_xlfn.IFS(M938=1,"Sunny Day",M938=2,"Cloudy Day",M938=3,"Rainy Day",M938=4,"Heavy Rain")</f>
        <v>Sunny Day</v>
      </c>
      <c r="O938">
        <v>0.16</v>
      </c>
      <c r="P938">
        <v>0.19700000000000001</v>
      </c>
      <c r="Q938">
        <v>0.69</v>
      </c>
      <c r="R938">
        <v>8.9599999999999999E-2</v>
      </c>
      <c r="S938">
        <v>3</v>
      </c>
      <c r="T938">
        <v>27</v>
      </c>
      <c r="U938">
        <v>30</v>
      </c>
    </row>
    <row r="939" spans="1:21" x14ac:dyDescent="0.3">
      <c r="A939">
        <v>947</v>
      </c>
      <c r="B939" t="s">
        <v>91</v>
      </c>
      <c r="C939" t="str">
        <f t="shared" si="57"/>
        <v>12-Feb-2011</v>
      </c>
      <c r="D939">
        <v>1</v>
      </c>
      <c r="E939">
        <v>0</v>
      </c>
      <c r="F939">
        <v>2</v>
      </c>
      <c r="G939" t="str">
        <f t="shared" si="56"/>
        <v>Feb</v>
      </c>
      <c r="H939">
        <v>1</v>
      </c>
      <c r="I939">
        <f t="shared" si="58"/>
        <v>0</v>
      </c>
      <c r="J939" t="s">
        <v>125</v>
      </c>
      <c r="K939">
        <v>6</v>
      </c>
      <c r="L939" t="str">
        <f t="shared" si="59"/>
        <v>Weekend</v>
      </c>
      <c r="M939">
        <v>1</v>
      </c>
      <c r="N939" t="str" cm="1">
        <f t="array" ref="N939">_xlfn.IFS(M939=1,"Sunny Day",M939=2,"Cloudy Day",M939=3,"Rainy Day",M939=4,"Heavy Rain")</f>
        <v>Sunny Day</v>
      </c>
      <c r="O939">
        <v>0.14000000000000001</v>
      </c>
      <c r="P939">
        <v>0.21210000000000001</v>
      </c>
      <c r="Q939">
        <v>0.86</v>
      </c>
      <c r="R939">
        <v>0</v>
      </c>
      <c r="S939">
        <v>2</v>
      </c>
      <c r="T939">
        <v>22</v>
      </c>
      <c r="U939">
        <v>24</v>
      </c>
    </row>
    <row r="940" spans="1:21" x14ac:dyDescent="0.3">
      <c r="A940">
        <v>948</v>
      </c>
      <c r="B940" t="s">
        <v>91</v>
      </c>
      <c r="C940" t="str">
        <f t="shared" si="57"/>
        <v>12-Feb-2011</v>
      </c>
      <c r="D940">
        <v>1</v>
      </c>
      <c r="E940">
        <v>0</v>
      </c>
      <c r="F940">
        <v>2</v>
      </c>
      <c r="G940" t="str">
        <f t="shared" si="56"/>
        <v>Feb</v>
      </c>
      <c r="H940">
        <v>2</v>
      </c>
      <c r="I940">
        <f t="shared" si="58"/>
        <v>0</v>
      </c>
      <c r="J940" t="s">
        <v>125</v>
      </c>
      <c r="K940">
        <v>6</v>
      </c>
      <c r="L940" t="str">
        <f t="shared" si="59"/>
        <v>Weekend</v>
      </c>
      <c r="M940">
        <v>1</v>
      </c>
      <c r="N940" t="str" cm="1">
        <f t="array" ref="N940">_xlfn.IFS(M940=1,"Sunny Day",M940=2,"Cloudy Day",M940=3,"Rainy Day",M940=4,"Heavy Rain")</f>
        <v>Sunny Day</v>
      </c>
      <c r="O940">
        <v>0.14000000000000001</v>
      </c>
      <c r="P940">
        <v>0.21210000000000001</v>
      </c>
      <c r="Q940">
        <v>0.8</v>
      </c>
      <c r="R940">
        <v>0</v>
      </c>
      <c r="S940">
        <v>2</v>
      </c>
      <c r="T940">
        <v>13</v>
      </c>
      <c r="U940">
        <v>15</v>
      </c>
    </row>
    <row r="941" spans="1:21" x14ac:dyDescent="0.3">
      <c r="A941">
        <v>949</v>
      </c>
      <c r="B941" t="s">
        <v>91</v>
      </c>
      <c r="C941" t="str">
        <f t="shared" si="57"/>
        <v>12-Feb-2011</v>
      </c>
      <c r="D941">
        <v>1</v>
      </c>
      <c r="E941">
        <v>0</v>
      </c>
      <c r="F941">
        <v>2</v>
      </c>
      <c r="G941" t="str">
        <f t="shared" si="56"/>
        <v>Feb</v>
      </c>
      <c r="H941">
        <v>3</v>
      </c>
      <c r="I941">
        <f t="shared" si="58"/>
        <v>0</v>
      </c>
      <c r="J941" t="s">
        <v>125</v>
      </c>
      <c r="K941">
        <v>6</v>
      </c>
      <c r="L941" t="str">
        <f t="shared" si="59"/>
        <v>Weekend</v>
      </c>
      <c r="M941">
        <v>1</v>
      </c>
      <c r="N941" t="str" cm="1">
        <f t="array" ref="N941">_xlfn.IFS(M941=1,"Sunny Day",M941=2,"Cloudy Day",M941=3,"Rainy Day",M941=4,"Heavy Rain")</f>
        <v>Sunny Day</v>
      </c>
      <c r="O941">
        <v>0.12</v>
      </c>
      <c r="P941">
        <v>0.19700000000000001</v>
      </c>
      <c r="Q941">
        <v>0.8</v>
      </c>
      <c r="R941">
        <v>0</v>
      </c>
      <c r="S941">
        <v>3</v>
      </c>
      <c r="T941">
        <v>7</v>
      </c>
      <c r="U941">
        <v>10</v>
      </c>
    </row>
    <row r="942" spans="1:21" x14ac:dyDescent="0.3">
      <c r="A942">
        <v>950</v>
      </c>
      <c r="B942" t="s">
        <v>91</v>
      </c>
      <c r="C942" t="str">
        <f t="shared" si="57"/>
        <v>12-Feb-2011</v>
      </c>
      <c r="D942">
        <v>1</v>
      </c>
      <c r="E942">
        <v>0</v>
      </c>
      <c r="F942">
        <v>2</v>
      </c>
      <c r="G942" t="str">
        <f t="shared" si="56"/>
        <v>Feb</v>
      </c>
      <c r="H942">
        <v>4</v>
      </c>
      <c r="I942">
        <f t="shared" si="58"/>
        <v>0</v>
      </c>
      <c r="J942" t="s">
        <v>125</v>
      </c>
      <c r="K942">
        <v>6</v>
      </c>
      <c r="L942" t="str">
        <f t="shared" si="59"/>
        <v>Weekend</v>
      </c>
      <c r="M942">
        <v>1</v>
      </c>
      <c r="N942" t="str" cm="1">
        <f t="array" ref="N942">_xlfn.IFS(M942=1,"Sunny Day",M942=2,"Cloudy Day",M942=3,"Rainy Day",M942=4,"Heavy Rain")</f>
        <v>Sunny Day</v>
      </c>
      <c r="O942">
        <v>0.12</v>
      </c>
      <c r="P942">
        <v>0.16669999999999999</v>
      </c>
      <c r="Q942">
        <v>0.74</v>
      </c>
      <c r="R942">
        <v>8.9599999999999999E-2</v>
      </c>
      <c r="S942">
        <v>0</v>
      </c>
      <c r="T942">
        <v>4</v>
      </c>
      <c r="U942">
        <v>4</v>
      </c>
    </row>
    <row r="943" spans="1:21" x14ac:dyDescent="0.3">
      <c r="A943">
        <v>951</v>
      </c>
      <c r="B943" t="s">
        <v>91</v>
      </c>
      <c r="C943" t="str">
        <f t="shared" si="57"/>
        <v>12-Feb-2011</v>
      </c>
      <c r="D943">
        <v>1</v>
      </c>
      <c r="E943">
        <v>0</v>
      </c>
      <c r="F943">
        <v>2</v>
      </c>
      <c r="G943" t="str">
        <f t="shared" si="56"/>
        <v>Feb</v>
      </c>
      <c r="H943">
        <v>5</v>
      </c>
      <c r="I943">
        <f t="shared" si="58"/>
        <v>0</v>
      </c>
      <c r="J943" t="s">
        <v>125</v>
      </c>
      <c r="K943">
        <v>6</v>
      </c>
      <c r="L943" t="str">
        <f t="shared" si="59"/>
        <v>Weekend</v>
      </c>
      <c r="M943">
        <v>1</v>
      </c>
      <c r="N943" t="str" cm="1">
        <f t="array" ref="N943">_xlfn.IFS(M943=1,"Sunny Day",M943=2,"Cloudy Day",M943=3,"Rainy Day",M943=4,"Heavy Rain")</f>
        <v>Sunny Day</v>
      </c>
      <c r="O943">
        <v>0.12</v>
      </c>
      <c r="P943">
        <v>0.16669999999999999</v>
      </c>
      <c r="Q943">
        <v>0.74</v>
      </c>
      <c r="R943">
        <v>8.9599999999999999E-2</v>
      </c>
      <c r="S943">
        <v>0</v>
      </c>
      <c r="T943">
        <v>1</v>
      </c>
      <c r="U943">
        <v>1</v>
      </c>
    </row>
    <row r="944" spans="1:21" x14ac:dyDescent="0.3">
      <c r="A944">
        <v>952</v>
      </c>
      <c r="B944" t="s">
        <v>91</v>
      </c>
      <c r="C944" t="str">
        <f t="shared" si="57"/>
        <v>12-Feb-2011</v>
      </c>
      <c r="D944">
        <v>1</v>
      </c>
      <c r="E944">
        <v>0</v>
      </c>
      <c r="F944">
        <v>2</v>
      </c>
      <c r="G944" t="str">
        <f t="shared" si="56"/>
        <v>Feb</v>
      </c>
      <c r="H944">
        <v>6</v>
      </c>
      <c r="I944">
        <f t="shared" si="58"/>
        <v>0</v>
      </c>
      <c r="J944" t="s">
        <v>125</v>
      </c>
      <c r="K944">
        <v>6</v>
      </c>
      <c r="L944" t="str">
        <f t="shared" si="59"/>
        <v>Weekend</v>
      </c>
      <c r="M944">
        <v>1</v>
      </c>
      <c r="N944" t="str" cm="1">
        <f t="array" ref="N944">_xlfn.IFS(M944=1,"Sunny Day",M944=2,"Cloudy Day",M944=3,"Rainy Day",M944=4,"Heavy Rain")</f>
        <v>Sunny Day</v>
      </c>
      <c r="O944">
        <v>0.12</v>
      </c>
      <c r="P944">
        <v>0.13639999999999999</v>
      </c>
      <c r="Q944">
        <v>0.93</v>
      </c>
      <c r="R944">
        <v>0.19400000000000001</v>
      </c>
      <c r="S944">
        <v>1</v>
      </c>
      <c r="T944">
        <v>1</v>
      </c>
      <c r="U944">
        <v>2</v>
      </c>
    </row>
    <row r="945" spans="1:21" x14ac:dyDescent="0.3">
      <c r="A945">
        <v>953</v>
      </c>
      <c r="B945" t="s">
        <v>91</v>
      </c>
      <c r="C945" t="str">
        <f t="shared" si="57"/>
        <v>12-Feb-2011</v>
      </c>
      <c r="D945">
        <v>1</v>
      </c>
      <c r="E945">
        <v>0</v>
      </c>
      <c r="F945">
        <v>2</v>
      </c>
      <c r="G945" t="str">
        <f t="shared" si="56"/>
        <v>Feb</v>
      </c>
      <c r="H945">
        <v>7</v>
      </c>
      <c r="I945">
        <f t="shared" si="58"/>
        <v>0</v>
      </c>
      <c r="J945" t="s">
        <v>125</v>
      </c>
      <c r="K945">
        <v>6</v>
      </c>
      <c r="L945" t="str">
        <f t="shared" si="59"/>
        <v>Weekend</v>
      </c>
      <c r="M945">
        <v>1</v>
      </c>
      <c r="N945" t="str" cm="1">
        <f t="array" ref="N945">_xlfn.IFS(M945=1,"Sunny Day",M945=2,"Cloudy Day",M945=3,"Rainy Day",M945=4,"Heavy Rain")</f>
        <v>Sunny Day</v>
      </c>
      <c r="O945">
        <v>0.12</v>
      </c>
      <c r="P945">
        <v>0.1515</v>
      </c>
      <c r="Q945">
        <v>0.8</v>
      </c>
      <c r="R945">
        <v>0.1045</v>
      </c>
      <c r="S945">
        <v>2</v>
      </c>
      <c r="T945">
        <v>9</v>
      </c>
      <c r="U945">
        <v>11</v>
      </c>
    </row>
    <row r="946" spans="1:21" x14ac:dyDescent="0.3">
      <c r="A946">
        <v>954</v>
      </c>
      <c r="B946" t="s">
        <v>91</v>
      </c>
      <c r="C946" t="str">
        <f t="shared" si="57"/>
        <v>12-Feb-2011</v>
      </c>
      <c r="D946">
        <v>1</v>
      </c>
      <c r="E946">
        <v>0</v>
      </c>
      <c r="F946">
        <v>2</v>
      </c>
      <c r="G946" t="str">
        <f t="shared" si="56"/>
        <v>Feb</v>
      </c>
      <c r="H946">
        <v>8</v>
      </c>
      <c r="I946">
        <f t="shared" si="58"/>
        <v>0</v>
      </c>
      <c r="J946" t="s">
        <v>125</v>
      </c>
      <c r="K946">
        <v>6</v>
      </c>
      <c r="L946" t="str">
        <f t="shared" si="59"/>
        <v>Weekend</v>
      </c>
      <c r="M946">
        <v>1</v>
      </c>
      <c r="N946" t="str" cm="1">
        <f t="array" ref="N946">_xlfn.IFS(M946=1,"Sunny Day",M946=2,"Cloudy Day",M946=3,"Rainy Day",M946=4,"Heavy Rain")</f>
        <v>Sunny Day</v>
      </c>
      <c r="O946">
        <v>0.14000000000000001</v>
      </c>
      <c r="P946">
        <v>0.1515</v>
      </c>
      <c r="Q946">
        <v>0.86</v>
      </c>
      <c r="R946">
        <v>0.1343</v>
      </c>
      <c r="S946">
        <v>2</v>
      </c>
      <c r="T946">
        <v>28</v>
      </c>
      <c r="U946">
        <v>30</v>
      </c>
    </row>
    <row r="947" spans="1:21" x14ac:dyDescent="0.3">
      <c r="A947">
        <v>955</v>
      </c>
      <c r="B947" t="s">
        <v>91</v>
      </c>
      <c r="C947" t="str">
        <f t="shared" si="57"/>
        <v>12-Feb-2011</v>
      </c>
      <c r="D947">
        <v>1</v>
      </c>
      <c r="E947">
        <v>0</v>
      </c>
      <c r="F947">
        <v>2</v>
      </c>
      <c r="G947" t="str">
        <f t="shared" si="56"/>
        <v>Feb</v>
      </c>
      <c r="H947">
        <v>9</v>
      </c>
      <c r="I947">
        <f t="shared" si="58"/>
        <v>0</v>
      </c>
      <c r="J947" t="s">
        <v>125</v>
      </c>
      <c r="K947">
        <v>6</v>
      </c>
      <c r="L947" t="str">
        <f t="shared" si="59"/>
        <v>Weekend</v>
      </c>
      <c r="M947">
        <v>1</v>
      </c>
      <c r="N947" t="str" cm="1">
        <f t="array" ref="N947">_xlfn.IFS(M947=1,"Sunny Day",M947=2,"Cloudy Day",M947=3,"Rainy Day",M947=4,"Heavy Rain")</f>
        <v>Sunny Day</v>
      </c>
      <c r="O947">
        <v>0.16</v>
      </c>
      <c r="P947">
        <v>0.18179999999999999</v>
      </c>
      <c r="Q947">
        <v>0.64</v>
      </c>
      <c r="R947">
        <v>0.1343</v>
      </c>
      <c r="S947">
        <v>5</v>
      </c>
      <c r="T947">
        <v>38</v>
      </c>
      <c r="U947">
        <v>43</v>
      </c>
    </row>
    <row r="948" spans="1:21" x14ac:dyDescent="0.3">
      <c r="A948">
        <v>956</v>
      </c>
      <c r="B948" t="s">
        <v>91</v>
      </c>
      <c r="C948" t="str">
        <f t="shared" si="57"/>
        <v>12-Feb-2011</v>
      </c>
      <c r="D948">
        <v>1</v>
      </c>
      <c r="E948">
        <v>0</v>
      </c>
      <c r="F948">
        <v>2</v>
      </c>
      <c r="G948" t="str">
        <f t="shared" si="56"/>
        <v>Feb</v>
      </c>
      <c r="H948">
        <v>10</v>
      </c>
      <c r="I948">
        <f t="shared" si="58"/>
        <v>0</v>
      </c>
      <c r="J948" t="s">
        <v>125</v>
      </c>
      <c r="K948">
        <v>6</v>
      </c>
      <c r="L948" t="str">
        <f t="shared" si="59"/>
        <v>Weekend</v>
      </c>
      <c r="M948">
        <v>1</v>
      </c>
      <c r="N948" t="str" cm="1">
        <f t="array" ref="N948">_xlfn.IFS(M948=1,"Sunny Day",M948=2,"Cloudy Day",M948=3,"Rainy Day",M948=4,"Heavy Rain")</f>
        <v>Sunny Day</v>
      </c>
      <c r="O948">
        <v>0.22</v>
      </c>
      <c r="P948">
        <v>0.21210000000000001</v>
      </c>
      <c r="Q948">
        <v>0.41</v>
      </c>
      <c r="R948">
        <v>0.25369999999999998</v>
      </c>
      <c r="S948">
        <v>13</v>
      </c>
      <c r="T948">
        <v>71</v>
      </c>
      <c r="U948">
        <v>84</v>
      </c>
    </row>
    <row r="949" spans="1:21" x14ac:dyDescent="0.3">
      <c r="A949">
        <v>957</v>
      </c>
      <c r="B949" t="s">
        <v>91</v>
      </c>
      <c r="C949" t="str">
        <f t="shared" si="57"/>
        <v>12-Feb-2011</v>
      </c>
      <c r="D949">
        <v>1</v>
      </c>
      <c r="E949">
        <v>0</v>
      </c>
      <c r="F949">
        <v>2</v>
      </c>
      <c r="G949" t="str">
        <f t="shared" si="56"/>
        <v>Feb</v>
      </c>
      <c r="H949">
        <v>11</v>
      </c>
      <c r="I949">
        <f t="shared" si="58"/>
        <v>1</v>
      </c>
      <c r="J949" t="s">
        <v>125</v>
      </c>
      <c r="K949">
        <v>6</v>
      </c>
      <c r="L949" t="str">
        <f t="shared" si="59"/>
        <v>Weekend</v>
      </c>
      <c r="M949">
        <v>1</v>
      </c>
      <c r="N949" t="str" cm="1">
        <f t="array" ref="N949">_xlfn.IFS(M949=1,"Sunny Day",M949=2,"Cloudy Day",M949=3,"Rainy Day",M949=4,"Heavy Rain")</f>
        <v>Sunny Day</v>
      </c>
      <c r="O949">
        <v>0.3</v>
      </c>
      <c r="P949">
        <v>0.2727</v>
      </c>
      <c r="Q949">
        <v>0.28000000000000003</v>
      </c>
      <c r="R949">
        <v>0.32840000000000003</v>
      </c>
      <c r="S949">
        <v>30</v>
      </c>
      <c r="T949">
        <v>84</v>
      </c>
      <c r="U949">
        <v>114</v>
      </c>
    </row>
    <row r="950" spans="1:21" x14ac:dyDescent="0.3">
      <c r="A950">
        <v>958</v>
      </c>
      <c r="B950" t="s">
        <v>91</v>
      </c>
      <c r="C950" t="str">
        <f t="shared" si="57"/>
        <v>12-Feb-2011</v>
      </c>
      <c r="D950">
        <v>1</v>
      </c>
      <c r="E950">
        <v>0</v>
      </c>
      <c r="F950">
        <v>2</v>
      </c>
      <c r="G950" t="str">
        <f t="shared" si="56"/>
        <v>Feb</v>
      </c>
      <c r="H950">
        <v>12</v>
      </c>
      <c r="I950">
        <f t="shared" si="58"/>
        <v>1</v>
      </c>
      <c r="J950" t="s">
        <v>125</v>
      </c>
      <c r="K950">
        <v>6</v>
      </c>
      <c r="L950" t="str">
        <f t="shared" si="59"/>
        <v>Weekend</v>
      </c>
      <c r="M950">
        <v>1</v>
      </c>
      <c r="N950" t="str" cm="1">
        <f t="array" ref="N950">_xlfn.IFS(M950=1,"Sunny Day",M950=2,"Cloudy Day",M950=3,"Rainy Day",M950=4,"Heavy Rain")</f>
        <v>Sunny Day</v>
      </c>
      <c r="O950">
        <v>0.3</v>
      </c>
      <c r="P950">
        <v>0.2727</v>
      </c>
      <c r="Q950">
        <v>0.39</v>
      </c>
      <c r="R950">
        <v>0.4627</v>
      </c>
      <c r="S950">
        <v>27</v>
      </c>
      <c r="T950">
        <v>93</v>
      </c>
      <c r="U950">
        <v>120</v>
      </c>
    </row>
    <row r="951" spans="1:21" x14ac:dyDescent="0.3">
      <c r="A951">
        <v>959</v>
      </c>
      <c r="B951" t="s">
        <v>91</v>
      </c>
      <c r="C951" t="str">
        <f t="shared" si="57"/>
        <v>12-Feb-2011</v>
      </c>
      <c r="D951">
        <v>1</v>
      </c>
      <c r="E951">
        <v>0</v>
      </c>
      <c r="F951">
        <v>2</v>
      </c>
      <c r="G951" t="str">
        <f t="shared" si="56"/>
        <v>Feb</v>
      </c>
      <c r="H951">
        <v>13</v>
      </c>
      <c r="I951">
        <f t="shared" si="58"/>
        <v>1</v>
      </c>
      <c r="J951" t="s">
        <v>125</v>
      </c>
      <c r="K951">
        <v>6</v>
      </c>
      <c r="L951" t="str">
        <f t="shared" si="59"/>
        <v>Weekend</v>
      </c>
      <c r="M951">
        <v>1</v>
      </c>
      <c r="N951" t="str" cm="1">
        <f t="array" ref="N951">_xlfn.IFS(M951=1,"Sunny Day",M951=2,"Cloudy Day",M951=3,"Rainy Day",M951=4,"Heavy Rain")</f>
        <v>Sunny Day</v>
      </c>
      <c r="O951">
        <v>0.3</v>
      </c>
      <c r="P951">
        <v>0.2727</v>
      </c>
      <c r="Q951">
        <v>0.39</v>
      </c>
      <c r="R951">
        <v>0.41789999999999999</v>
      </c>
      <c r="S951">
        <v>32</v>
      </c>
      <c r="T951">
        <v>103</v>
      </c>
      <c r="U951">
        <v>135</v>
      </c>
    </row>
    <row r="952" spans="1:21" x14ac:dyDescent="0.3">
      <c r="A952">
        <v>960</v>
      </c>
      <c r="B952" t="s">
        <v>91</v>
      </c>
      <c r="C952" t="str">
        <f t="shared" si="57"/>
        <v>12-Feb-2011</v>
      </c>
      <c r="D952">
        <v>1</v>
      </c>
      <c r="E952">
        <v>0</v>
      </c>
      <c r="F952">
        <v>2</v>
      </c>
      <c r="G952" t="str">
        <f t="shared" si="56"/>
        <v>Feb</v>
      </c>
      <c r="H952">
        <v>14</v>
      </c>
      <c r="I952">
        <f t="shared" si="58"/>
        <v>1</v>
      </c>
      <c r="J952" t="s">
        <v>125</v>
      </c>
      <c r="K952">
        <v>6</v>
      </c>
      <c r="L952" t="str">
        <f t="shared" si="59"/>
        <v>Weekend</v>
      </c>
      <c r="M952">
        <v>1</v>
      </c>
      <c r="N952" t="str" cm="1">
        <f t="array" ref="N952">_xlfn.IFS(M952=1,"Sunny Day",M952=2,"Cloudy Day",M952=3,"Rainy Day",M952=4,"Heavy Rain")</f>
        <v>Sunny Day</v>
      </c>
      <c r="O952">
        <v>0.34</v>
      </c>
      <c r="P952">
        <v>0.31819999999999998</v>
      </c>
      <c r="Q952">
        <v>0.31</v>
      </c>
      <c r="R952">
        <v>0.28360000000000002</v>
      </c>
      <c r="S952">
        <v>30</v>
      </c>
      <c r="T952">
        <v>90</v>
      </c>
      <c r="U952">
        <v>120</v>
      </c>
    </row>
    <row r="953" spans="1:21" x14ac:dyDescent="0.3">
      <c r="A953">
        <v>961</v>
      </c>
      <c r="B953" t="s">
        <v>91</v>
      </c>
      <c r="C953" t="str">
        <f t="shared" si="57"/>
        <v>12-Feb-2011</v>
      </c>
      <c r="D953">
        <v>1</v>
      </c>
      <c r="E953">
        <v>0</v>
      </c>
      <c r="F953">
        <v>2</v>
      </c>
      <c r="G953" t="str">
        <f t="shared" si="56"/>
        <v>Feb</v>
      </c>
      <c r="H953">
        <v>15</v>
      </c>
      <c r="I953">
        <f t="shared" si="58"/>
        <v>1</v>
      </c>
      <c r="J953" t="s">
        <v>125</v>
      </c>
      <c r="K953">
        <v>6</v>
      </c>
      <c r="L953" t="str">
        <f t="shared" si="59"/>
        <v>Weekend</v>
      </c>
      <c r="M953">
        <v>1</v>
      </c>
      <c r="N953" t="str" cm="1">
        <f t="array" ref="N953">_xlfn.IFS(M953=1,"Sunny Day",M953=2,"Cloudy Day",M953=3,"Rainy Day",M953=4,"Heavy Rain")</f>
        <v>Sunny Day</v>
      </c>
      <c r="O953">
        <v>0.34</v>
      </c>
      <c r="P953">
        <v>0.30299999999999999</v>
      </c>
      <c r="Q953">
        <v>0.28999999999999998</v>
      </c>
      <c r="R953">
        <v>0.41789999999999999</v>
      </c>
      <c r="S953">
        <v>47</v>
      </c>
      <c r="T953">
        <v>127</v>
      </c>
      <c r="U953">
        <v>174</v>
      </c>
    </row>
    <row r="954" spans="1:21" x14ac:dyDescent="0.3">
      <c r="A954">
        <v>962</v>
      </c>
      <c r="B954" t="s">
        <v>91</v>
      </c>
      <c r="C954" t="str">
        <f t="shared" si="57"/>
        <v>12-Feb-2011</v>
      </c>
      <c r="D954">
        <v>1</v>
      </c>
      <c r="E954">
        <v>0</v>
      </c>
      <c r="F954">
        <v>2</v>
      </c>
      <c r="G954" t="str">
        <f t="shared" si="56"/>
        <v>Feb</v>
      </c>
      <c r="H954">
        <v>16</v>
      </c>
      <c r="I954">
        <f t="shared" si="58"/>
        <v>1</v>
      </c>
      <c r="J954" t="s">
        <v>125</v>
      </c>
      <c r="K954">
        <v>6</v>
      </c>
      <c r="L954" t="str">
        <f t="shared" si="59"/>
        <v>Weekend</v>
      </c>
      <c r="M954">
        <v>1</v>
      </c>
      <c r="N954" t="str" cm="1">
        <f t="array" ref="N954">_xlfn.IFS(M954=1,"Sunny Day",M954=2,"Cloudy Day",M954=3,"Rainy Day",M954=4,"Heavy Rain")</f>
        <v>Sunny Day</v>
      </c>
      <c r="O954">
        <v>0.34</v>
      </c>
      <c r="P954">
        <v>0.30299999999999999</v>
      </c>
      <c r="Q954">
        <v>0.28999999999999998</v>
      </c>
      <c r="R954">
        <v>0.41789999999999999</v>
      </c>
      <c r="S954">
        <v>42</v>
      </c>
      <c r="T954">
        <v>103</v>
      </c>
      <c r="U954">
        <v>145</v>
      </c>
    </row>
    <row r="955" spans="1:21" x14ac:dyDescent="0.3">
      <c r="A955">
        <v>963</v>
      </c>
      <c r="B955" t="s">
        <v>91</v>
      </c>
      <c r="C955" t="str">
        <f t="shared" si="57"/>
        <v>12-Feb-2011</v>
      </c>
      <c r="D955">
        <v>1</v>
      </c>
      <c r="E955">
        <v>0</v>
      </c>
      <c r="F955">
        <v>2</v>
      </c>
      <c r="G955" t="str">
        <f t="shared" si="56"/>
        <v>Feb</v>
      </c>
      <c r="H955">
        <v>17</v>
      </c>
      <c r="I955">
        <f t="shared" si="58"/>
        <v>1</v>
      </c>
      <c r="J955" t="s">
        <v>125</v>
      </c>
      <c r="K955">
        <v>6</v>
      </c>
      <c r="L955" t="str">
        <f t="shared" si="59"/>
        <v>Weekend</v>
      </c>
      <c r="M955">
        <v>1</v>
      </c>
      <c r="N955" t="str" cm="1">
        <f t="array" ref="N955">_xlfn.IFS(M955=1,"Sunny Day",M955=2,"Cloudy Day",M955=3,"Rainy Day",M955=4,"Heavy Rain")</f>
        <v>Sunny Day</v>
      </c>
      <c r="O955">
        <v>0.32</v>
      </c>
      <c r="P955">
        <v>0.28789999999999999</v>
      </c>
      <c r="Q955">
        <v>0.31</v>
      </c>
      <c r="R955">
        <v>0.52239999999999998</v>
      </c>
      <c r="S955">
        <v>24</v>
      </c>
      <c r="T955">
        <v>113</v>
      </c>
      <c r="U955">
        <v>137</v>
      </c>
    </row>
    <row r="956" spans="1:21" x14ac:dyDescent="0.3">
      <c r="A956">
        <v>964</v>
      </c>
      <c r="B956" t="s">
        <v>91</v>
      </c>
      <c r="C956" t="str">
        <f t="shared" si="57"/>
        <v>12-Feb-2011</v>
      </c>
      <c r="D956">
        <v>1</v>
      </c>
      <c r="E956">
        <v>0</v>
      </c>
      <c r="F956">
        <v>2</v>
      </c>
      <c r="G956" t="str">
        <f t="shared" si="56"/>
        <v>Feb</v>
      </c>
      <c r="H956">
        <v>18</v>
      </c>
      <c r="I956">
        <f t="shared" si="58"/>
        <v>1</v>
      </c>
      <c r="J956" t="s">
        <v>125</v>
      </c>
      <c r="K956">
        <v>6</v>
      </c>
      <c r="L956" t="str">
        <f t="shared" si="59"/>
        <v>Weekend</v>
      </c>
      <c r="M956">
        <v>1</v>
      </c>
      <c r="N956" t="str" cm="1">
        <f t="array" ref="N956">_xlfn.IFS(M956=1,"Sunny Day",M956=2,"Cloudy Day",M956=3,"Rainy Day",M956=4,"Heavy Rain")</f>
        <v>Sunny Day</v>
      </c>
      <c r="O956">
        <v>0.28000000000000003</v>
      </c>
      <c r="P956">
        <v>0.2576</v>
      </c>
      <c r="Q956">
        <v>0.38</v>
      </c>
      <c r="R956">
        <v>0.32840000000000003</v>
      </c>
      <c r="S956">
        <v>4</v>
      </c>
      <c r="T956">
        <v>60</v>
      </c>
      <c r="U956">
        <v>64</v>
      </c>
    </row>
    <row r="957" spans="1:21" x14ac:dyDescent="0.3">
      <c r="A957">
        <v>965</v>
      </c>
      <c r="B957" t="s">
        <v>91</v>
      </c>
      <c r="C957" t="str">
        <f t="shared" si="57"/>
        <v>12-Feb-2011</v>
      </c>
      <c r="D957">
        <v>1</v>
      </c>
      <c r="E957">
        <v>0</v>
      </c>
      <c r="F957">
        <v>2</v>
      </c>
      <c r="G957" t="str">
        <f t="shared" si="56"/>
        <v>Feb</v>
      </c>
      <c r="H957">
        <v>19</v>
      </c>
      <c r="I957">
        <f t="shared" si="58"/>
        <v>1</v>
      </c>
      <c r="J957" t="s">
        <v>125</v>
      </c>
      <c r="K957">
        <v>6</v>
      </c>
      <c r="L957" t="str">
        <f t="shared" si="59"/>
        <v>Weekend</v>
      </c>
      <c r="M957">
        <v>1</v>
      </c>
      <c r="N957" t="str" cm="1">
        <f t="array" ref="N957">_xlfn.IFS(M957=1,"Sunny Day",M957=2,"Cloudy Day",M957=3,"Rainy Day",M957=4,"Heavy Rain")</f>
        <v>Sunny Day</v>
      </c>
      <c r="O957">
        <v>0.28000000000000003</v>
      </c>
      <c r="P957">
        <v>0.2727</v>
      </c>
      <c r="Q957">
        <v>0.38</v>
      </c>
      <c r="R957">
        <v>0.16420000000000001</v>
      </c>
      <c r="S957">
        <v>2</v>
      </c>
      <c r="T957">
        <v>39</v>
      </c>
      <c r="U957">
        <v>41</v>
      </c>
    </row>
    <row r="958" spans="1:21" x14ac:dyDescent="0.3">
      <c r="A958">
        <v>966</v>
      </c>
      <c r="B958" t="s">
        <v>91</v>
      </c>
      <c r="C958" t="str">
        <f t="shared" si="57"/>
        <v>12-Feb-2011</v>
      </c>
      <c r="D958">
        <v>1</v>
      </c>
      <c r="E958">
        <v>0</v>
      </c>
      <c r="F958">
        <v>2</v>
      </c>
      <c r="G958" t="str">
        <f t="shared" si="56"/>
        <v>Feb</v>
      </c>
      <c r="H958">
        <v>20</v>
      </c>
      <c r="I958">
        <f t="shared" si="58"/>
        <v>1</v>
      </c>
      <c r="J958" t="s">
        <v>125</v>
      </c>
      <c r="K958">
        <v>6</v>
      </c>
      <c r="L958" t="str">
        <f t="shared" si="59"/>
        <v>Weekend</v>
      </c>
      <c r="M958">
        <v>1</v>
      </c>
      <c r="N958" t="str" cm="1">
        <f t="array" ref="N958">_xlfn.IFS(M958=1,"Sunny Day",M958=2,"Cloudy Day",M958=3,"Rainy Day",M958=4,"Heavy Rain")</f>
        <v>Sunny Day</v>
      </c>
      <c r="O958">
        <v>0.26</v>
      </c>
      <c r="P958">
        <v>0.2576</v>
      </c>
      <c r="Q958">
        <v>0.41</v>
      </c>
      <c r="R958">
        <v>0.22389999999999999</v>
      </c>
      <c r="S958">
        <v>1</v>
      </c>
      <c r="T958">
        <v>39</v>
      </c>
      <c r="U958">
        <v>40</v>
      </c>
    </row>
    <row r="959" spans="1:21" x14ac:dyDescent="0.3">
      <c r="A959">
        <v>967</v>
      </c>
      <c r="B959" t="s">
        <v>91</v>
      </c>
      <c r="C959" t="str">
        <f t="shared" si="57"/>
        <v>12-Feb-2011</v>
      </c>
      <c r="D959">
        <v>1</v>
      </c>
      <c r="E959">
        <v>0</v>
      </c>
      <c r="F959">
        <v>2</v>
      </c>
      <c r="G959" t="str">
        <f t="shared" si="56"/>
        <v>Feb</v>
      </c>
      <c r="H959">
        <v>21</v>
      </c>
      <c r="I959">
        <f t="shared" si="58"/>
        <v>1</v>
      </c>
      <c r="J959" t="s">
        <v>125</v>
      </c>
      <c r="K959">
        <v>6</v>
      </c>
      <c r="L959" t="str">
        <f t="shared" si="59"/>
        <v>Weekend</v>
      </c>
      <c r="M959">
        <v>1</v>
      </c>
      <c r="N959" t="str" cm="1">
        <f t="array" ref="N959">_xlfn.IFS(M959=1,"Sunny Day",M959=2,"Cloudy Day",M959=3,"Rainy Day",M959=4,"Heavy Rain")</f>
        <v>Sunny Day</v>
      </c>
      <c r="O959">
        <v>0.26</v>
      </c>
      <c r="P959">
        <v>0.30299999999999999</v>
      </c>
      <c r="Q959">
        <v>0.41</v>
      </c>
      <c r="R959">
        <v>0</v>
      </c>
      <c r="S959">
        <v>9</v>
      </c>
      <c r="T959">
        <v>42</v>
      </c>
      <c r="U959">
        <v>51</v>
      </c>
    </row>
    <row r="960" spans="1:21" x14ac:dyDescent="0.3">
      <c r="A960">
        <v>968</v>
      </c>
      <c r="B960" t="s">
        <v>91</v>
      </c>
      <c r="C960" t="str">
        <f t="shared" si="57"/>
        <v>12-Feb-2011</v>
      </c>
      <c r="D960">
        <v>1</v>
      </c>
      <c r="E960">
        <v>0</v>
      </c>
      <c r="F960">
        <v>2</v>
      </c>
      <c r="G960" t="str">
        <f t="shared" si="56"/>
        <v>Feb</v>
      </c>
      <c r="H960">
        <v>22</v>
      </c>
      <c r="I960">
        <f t="shared" si="58"/>
        <v>1</v>
      </c>
      <c r="J960" t="s">
        <v>125</v>
      </c>
      <c r="K960">
        <v>6</v>
      </c>
      <c r="L960" t="str">
        <f t="shared" si="59"/>
        <v>Weekend</v>
      </c>
      <c r="M960">
        <v>1</v>
      </c>
      <c r="N960" t="str" cm="1">
        <f t="array" ref="N960">_xlfn.IFS(M960=1,"Sunny Day",M960=2,"Cloudy Day",M960=3,"Rainy Day",M960=4,"Heavy Rain")</f>
        <v>Sunny Day</v>
      </c>
      <c r="O960">
        <v>0.24</v>
      </c>
      <c r="P960">
        <v>0.2576</v>
      </c>
      <c r="Q960">
        <v>0.44</v>
      </c>
      <c r="R960">
        <v>8.9599999999999999E-2</v>
      </c>
      <c r="S960">
        <v>6</v>
      </c>
      <c r="T960">
        <v>39</v>
      </c>
      <c r="U960">
        <v>45</v>
      </c>
    </row>
    <row r="961" spans="1:21" x14ac:dyDescent="0.3">
      <c r="A961">
        <v>969</v>
      </c>
      <c r="B961" t="s">
        <v>91</v>
      </c>
      <c r="C961" t="str">
        <f t="shared" si="57"/>
        <v>12-Feb-2011</v>
      </c>
      <c r="D961">
        <v>1</v>
      </c>
      <c r="E961">
        <v>0</v>
      </c>
      <c r="F961">
        <v>2</v>
      </c>
      <c r="G961" t="str">
        <f t="shared" si="56"/>
        <v>Feb</v>
      </c>
      <c r="H961">
        <v>23</v>
      </c>
      <c r="I961">
        <f t="shared" si="58"/>
        <v>1</v>
      </c>
      <c r="J961" t="s">
        <v>125</v>
      </c>
      <c r="K961">
        <v>6</v>
      </c>
      <c r="L961" t="str">
        <f t="shared" si="59"/>
        <v>Weekend</v>
      </c>
      <c r="M961">
        <v>1</v>
      </c>
      <c r="N961" t="str" cm="1">
        <f t="array" ref="N961">_xlfn.IFS(M961=1,"Sunny Day",M961=2,"Cloudy Day",M961=3,"Rainy Day",M961=4,"Heavy Rain")</f>
        <v>Sunny Day</v>
      </c>
      <c r="O961">
        <v>0.22</v>
      </c>
      <c r="P961">
        <v>0.2273</v>
      </c>
      <c r="Q961">
        <v>0.51</v>
      </c>
      <c r="R961">
        <v>0.1343</v>
      </c>
      <c r="S961">
        <v>1</v>
      </c>
      <c r="T961">
        <v>31</v>
      </c>
      <c r="U961">
        <v>32</v>
      </c>
    </row>
    <row r="962" spans="1:21" x14ac:dyDescent="0.3">
      <c r="A962">
        <v>970</v>
      </c>
      <c r="B962" t="s">
        <v>93</v>
      </c>
      <c r="C962" t="str">
        <f t="shared" si="57"/>
        <v>13-Feb-2011</v>
      </c>
      <c r="D962">
        <v>1</v>
      </c>
      <c r="E962">
        <v>0</v>
      </c>
      <c r="F962">
        <v>2</v>
      </c>
      <c r="G962" t="str">
        <f t="shared" ref="G962:G1001" si="60">TEXT(C962,"mmm")</f>
        <v>Feb</v>
      </c>
      <c r="H962">
        <v>0</v>
      </c>
      <c r="I962">
        <f t="shared" si="58"/>
        <v>0</v>
      </c>
      <c r="J962" t="s">
        <v>125</v>
      </c>
      <c r="K962">
        <v>0</v>
      </c>
      <c r="L962" t="str">
        <f t="shared" si="59"/>
        <v>Weekend</v>
      </c>
      <c r="M962">
        <v>1</v>
      </c>
      <c r="N962" t="str" cm="1">
        <f t="array" ref="N962">_xlfn.IFS(M962=1,"Sunny Day",M962=2,"Cloudy Day",M962=3,"Rainy Day",M962=4,"Heavy Rain")</f>
        <v>Sunny Day</v>
      </c>
      <c r="O962">
        <v>0.2</v>
      </c>
      <c r="P962">
        <v>0.2273</v>
      </c>
      <c r="Q962">
        <v>0.64</v>
      </c>
      <c r="R962">
        <v>0.1045</v>
      </c>
      <c r="S962">
        <v>5</v>
      </c>
      <c r="T962">
        <v>34</v>
      </c>
      <c r="U962">
        <v>39</v>
      </c>
    </row>
    <row r="963" spans="1:21" x14ac:dyDescent="0.3">
      <c r="A963">
        <v>971</v>
      </c>
      <c r="B963" t="s">
        <v>93</v>
      </c>
      <c r="C963" t="str">
        <f t="shared" ref="C963:C1001" si="61">TEXT(DATEVALUE(B963),"dd-mmm-yyyy")</f>
        <v>13-Feb-2011</v>
      </c>
      <c r="D963">
        <v>1</v>
      </c>
      <c r="E963">
        <v>0</v>
      </c>
      <c r="F963">
        <v>2</v>
      </c>
      <c r="G963" t="str">
        <f t="shared" si="60"/>
        <v>Feb</v>
      </c>
      <c r="H963">
        <v>1</v>
      </c>
      <c r="I963">
        <f t="shared" ref="I963:I1001" si="62">IF(AND(H963&gt;=0,H963&lt;=10),0,1)</f>
        <v>0</v>
      </c>
      <c r="J963" t="s">
        <v>125</v>
      </c>
      <c r="K963">
        <v>0</v>
      </c>
      <c r="L963" t="str">
        <f t="shared" ref="L963:L1001" si="63">IF(AND(K963&gt;=1,K963&lt;=5),"Weekday","Weekend")</f>
        <v>Weekend</v>
      </c>
      <c r="M963">
        <v>1</v>
      </c>
      <c r="N963" t="str" cm="1">
        <f t="array" ref="N963">_xlfn.IFS(M963=1,"Sunny Day",M963=2,"Cloudy Day",M963=3,"Rainy Day",M963=4,"Heavy Rain")</f>
        <v>Sunny Day</v>
      </c>
      <c r="O963">
        <v>0.2</v>
      </c>
      <c r="P963">
        <v>0.2273</v>
      </c>
      <c r="Q963">
        <v>0.59</v>
      </c>
      <c r="R963">
        <v>8.9599999999999999E-2</v>
      </c>
      <c r="S963">
        <v>1</v>
      </c>
      <c r="T963">
        <v>23</v>
      </c>
      <c r="U963">
        <v>24</v>
      </c>
    </row>
    <row r="964" spans="1:21" x14ac:dyDescent="0.3">
      <c r="A964">
        <v>972</v>
      </c>
      <c r="B964" t="s">
        <v>93</v>
      </c>
      <c r="C964" t="str">
        <f t="shared" si="61"/>
        <v>13-Feb-2011</v>
      </c>
      <c r="D964">
        <v>1</v>
      </c>
      <c r="E964">
        <v>0</v>
      </c>
      <c r="F964">
        <v>2</v>
      </c>
      <c r="G964" t="str">
        <f t="shared" si="60"/>
        <v>Feb</v>
      </c>
      <c r="H964">
        <v>2</v>
      </c>
      <c r="I964">
        <f t="shared" si="62"/>
        <v>0</v>
      </c>
      <c r="J964" t="s">
        <v>125</v>
      </c>
      <c r="K964">
        <v>0</v>
      </c>
      <c r="L964" t="str">
        <f t="shared" si="63"/>
        <v>Weekend</v>
      </c>
      <c r="M964">
        <v>2</v>
      </c>
      <c r="N964" t="str" cm="1">
        <f t="array" ref="N964">_xlfn.IFS(M964=1,"Sunny Day",M964=2,"Cloudy Day",M964=3,"Rainy Day",M964=4,"Heavy Rain")</f>
        <v>Cloudy Day</v>
      </c>
      <c r="O964">
        <v>0.2</v>
      </c>
      <c r="P964">
        <v>0.2273</v>
      </c>
      <c r="Q964">
        <v>0.75</v>
      </c>
      <c r="R964">
        <v>8.9599999999999999E-2</v>
      </c>
      <c r="S964">
        <v>1</v>
      </c>
      <c r="T964">
        <v>19</v>
      </c>
      <c r="U964">
        <v>20</v>
      </c>
    </row>
    <row r="965" spans="1:21" x14ac:dyDescent="0.3">
      <c r="A965">
        <v>973</v>
      </c>
      <c r="B965" t="s">
        <v>93</v>
      </c>
      <c r="C965" t="str">
        <f t="shared" si="61"/>
        <v>13-Feb-2011</v>
      </c>
      <c r="D965">
        <v>1</v>
      </c>
      <c r="E965">
        <v>0</v>
      </c>
      <c r="F965">
        <v>2</v>
      </c>
      <c r="G965" t="str">
        <f t="shared" si="60"/>
        <v>Feb</v>
      </c>
      <c r="H965">
        <v>3</v>
      </c>
      <c r="I965">
        <f t="shared" si="62"/>
        <v>0</v>
      </c>
      <c r="J965" t="s">
        <v>125</v>
      </c>
      <c r="K965">
        <v>0</v>
      </c>
      <c r="L965" t="str">
        <f t="shared" si="63"/>
        <v>Weekend</v>
      </c>
      <c r="M965">
        <v>2</v>
      </c>
      <c r="N965" t="str" cm="1">
        <f t="array" ref="N965">_xlfn.IFS(M965=1,"Sunny Day",M965=2,"Cloudy Day",M965=3,"Rainy Day",M965=4,"Heavy Rain")</f>
        <v>Cloudy Day</v>
      </c>
      <c r="O965">
        <v>0.2</v>
      </c>
      <c r="P965">
        <v>0.2273</v>
      </c>
      <c r="Q965">
        <v>0.69</v>
      </c>
      <c r="R965">
        <v>0.1045</v>
      </c>
      <c r="S965">
        <v>4</v>
      </c>
      <c r="T965">
        <v>8</v>
      </c>
      <c r="U965">
        <v>12</v>
      </c>
    </row>
    <row r="966" spans="1:21" x14ac:dyDescent="0.3">
      <c r="A966">
        <v>974</v>
      </c>
      <c r="B966" t="s">
        <v>93</v>
      </c>
      <c r="C966" t="str">
        <f t="shared" si="61"/>
        <v>13-Feb-2011</v>
      </c>
      <c r="D966">
        <v>1</v>
      </c>
      <c r="E966">
        <v>0</v>
      </c>
      <c r="F966">
        <v>2</v>
      </c>
      <c r="G966" t="str">
        <f t="shared" si="60"/>
        <v>Feb</v>
      </c>
      <c r="H966">
        <v>4</v>
      </c>
      <c r="I966">
        <f t="shared" si="62"/>
        <v>0</v>
      </c>
      <c r="J966" t="s">
        <v>125</v>
      </c>
      <c r="K966">
        <v>0</v>
      </c>
      <c r="L966" t="str">
        <f t="shared" si="63"/>
        <v>Weekend</v>
      </c>
      <c r="M966">
        <v>2</v>
      </c>
      <c r="N966" t="str" cm="1">
        <f t="array" ref="N966">_xlfn.IFS(M966=1,"Sunny Day",M966=2,"Cloudy Day",M966=3,"Rainy Day",M966=4,"Heavy Rain")</f>
        <v>Cloudy Day</v>
      </c>
      <c r="O966">
        <v>0.2</v>
      </c>
      <c r="P966">
        <v>0.21210000000000001</v>
      </c>
      <c r="Q966">
        <v>0.69</v>
      </c>
      <c r="R966">
        <v>0.16420000000000001</v>
      </c>
      <c r="S966">
        <v>0</v>
      </c>
      <c r="T966">
        <v>2</v>
      </c>
      <c r="U966">
        <v>2</v>
      </c>
    </row>
    <row r="967" spans="1:21" x14ac:dyDescent="0.3">
      <c r="A967">
        <v>975</v>
      </c>
      <c r="B967" t="s">
        <v>93</v>
      </c>
      <c r="C967" t="str">
        <f t="shared" si="61"/>
        <v>13-Feb-2011</v>
      </c>
      <c r="D967">
        <v>1</v>
      </c>
      <c r="E967">
        <v>0</v>
      </c>
      <c r="F967">
        <v>2</v>
      </c>
      <c r="G967" t="str">
        <f t="shared" si="60"/>
        <v>Feb</v>
      </c>
      <c r="H967">
        <v>6</v>
      </c>
      <c r="I967">
        <f t="shared" si="62"/>
        <v>0</v>
      </c>
      <c r="J967" t="s">
        <v>125</v>
      </c>
      <c r="K967">
        <v>0</v>
      </c>
      <c r="L967" t="str">
        <f t="shared" si="63"/>
        <v>Weekend</v>
      </c>
      <c r="M967">
        <v>2</v>
      </c>
      <c r="N967" t="str" cm="1">
        <f t="array" ref="N967">_xlfn.IFS(M967=1,"Sunny Day",M967=2,"Cloudy Day",M967=3,"Rainy Day",M967=4,"Heavy Rain")</f>
        <v>Cloudy Day</v>
      </c>
      <c r="O967">
        <v>0.2</v>
      </c>
      <c r="P967">
        <v>0.21210000000000001</v>
      </c>
      <c r="Q967">
        <v>0.69</v>
      </c>
      <c r="R967">
        <v>0.1343</v>
      </c>
      <c r="S967">
        <v>2</v>
      </c>
      <c r="T967">
        <v>3</v>
      </c>
      <c r="U967">
        <v>5</v>
      </c>
    </row>
    <row r="968" spans="1:21" x14ac:dyDescent="0.3">
      <c r="A968">
        <v>976</v>
      </c>
      <c r="B968" t="s">
        <v>93</v>
      </c>
      <c r="C968" t="str">
        <f t="shared" si="61"/>
        <v>13-Feb-2011</v>
      </c>
      <c r="D968">
        <v>1</v>
      </c>
      <c r="E968">
        <v>0</v>
      </c>
      <c r="F968">
        <v>2</v>
      </c>
      <c r="G968" t="str">
        <f t="shared" si="60"/>
        <v>Feb</v>
      </c>
      <c r="H968">
        <v>7</v>
      </c>
      <c r="I968">
        <f t="shared" si="62"/>
        <v>0</v>
      </c>
      <c r="J968" t="s">
        <v>125</v>
      </c>
      <c r="K968">
        <v>0</v>
      </c>
      <c r="L968" t="str">
        <f t="shared" si="63"/>
        <v>Weekend</v>
      </c>
      <c r="M968">
        <v>2</v>
      </c>
      <c r="N968" t="str" cm="1">
        <f t="array" ref="N968">_xlfn.IFS(M968=1,"Sunny Day",M968=2,"Cloudy Day",M968=3,"Rainy Day",M968=4,"Heavy Rain")</f>
        <v>Cloudy Day</v>
      </c>
      <c r="O968">
        <v>0.22</v>
      </c>
      <c r="P968">
        <v>0.2727</v>
      </c>
      <c r="Q968">
        <v>0.55000000000000004</v>
      </c>
      <c r="R968">
        <v>0</v>
      </c>
      <c r="S968">
        <v>0</v>
      </c>
      <c r="T968">
        <v>3</v>
      </c>
      <c r="U968">
        <v>3</v>
      </c>
    </row>
    <row r="969" spans="1:21" x14ac:dyDescent="0.3">
      <c r="A969">
        <v>977</v>
      </c>
      <c r="B969" t="s">
        <v>93</v>
      </c>
      <c r="C969" t="str">
        <f t="shared" si="61"/>
        <v>13-Feb-2011</v>
      </c>
      <c r="D969">
        <v>1</v>
      </c>
      <c r="E969">
        <v>0</v>
      </c>
      <c r="F969">
        <v>2</v>
      </c>
      <c r="G969" t="str">
        <f t="shared" si="60"/>
        <v>Feb</v>
      </c>
      <c r="H969">
        <v>8</v>
      </c>
      <c r="I969">
        <f t="shared" si="62"/>
        <v>0</v>
      </c>
      <c r="J969" t="s">
        <v>125</v>
      </c>
      <c r="K969">
        <v>0</v>
      </c>
      <c r="L969" t="str">
        <f t="shared" si="63"/>
        <v>Weekend</v>
      </c>
      <c r="M969">
        <v>2</v>
      </c>
      <c r="N969" t="str" cm="1">
        <f t="array" ref="N969">_xlfn.IFS(M969=1,"Sunny Day",M969=2,"Cloudy Day",M969=3,"Rainy Day",M969=4,"Heavy Rain")</f>
        <v>Cloudy Day</v>
      </c>
      <c r="O969">
        <v>0.22</v>
      </c>
      <c r="P969">
        <v>0.2273</v>
      </c>
      <c r="Q969">
        <v>0.64</v>
      </c>
      <c r="R969">
        <v>0.19400000000000001</v>
      </c>
      <c r="S969">
        <v>1</v>
      </c>
      <c r="T969">
        <v>11</v>
      </c>
      <c r="U969">
        <v>12</v>
      </c>
    </row>
    <row r="970" spans="1:21" x14ac:dyDescent="0.3">
      <c r="A970">
        <v>978</v>
      </c>
      <c r="B970" t="s">
        <v>93</v>
      </c>
      <c r="C970" t="str">
        <f t="shared" si="61"/>
        <v>13-Feb-2011</v>
      </c>
      <c r="D970">
        <v>1</v>
      </c>
      <c r="E970">
        <v>0</v>
      </c>
      <c r="F970">
        <v>2</v>
      </c>
      <c r="G970" t="str">
        <f t="shared" si="60"/>
        <v>Feb</v>
      </c>
      <c r="H970">
        <v>9</v>
      </c>
      <c r="I970">
        <f t="shared" si="62"/>
        <v>0</v>
      </c>
      <c r="J970" t="s">
        <v>125</v>
      </c>
      <c r="K970">
        <v>0</v>
      </c>
      <c r="L970" t="str">
        <f t="shared" si="63"/>
        <v>Weekend</v>
      </c>
      <c r="M970">
        <v>2</v>
      </c>
      <c r="N970" t="str" cm="1">
        <f t="array" ref="N970">_xlfn.IFS(M970=1,"Sunny Day",M970=2,"Cloudy Day",M970=3,"Rainy Day",M970=4,"Heavy Rain")</f>
        <v>Cloudy Day</v>
      </c>
      <c r="O970">
        <v>0.24</v>
      </c>
      <c r="P970">
        <v>0.2273</v>
      </c>
      <c r="Q970">
        <v>0.6</v>
      </c>
      <c r="R970">
        <v>0.22389999999999999</v>
      </c>
      <c r="S970">
        <v>12</v>
      </c>
      <c r="T970">
        <v>35</v>
      </c>
      <c r="U970">
        <v>47</v>
      </c>
    </row>
    <row r="971" spans="1:21" x14ac:dyDescent="0.3">
      <c r="A971">
        <v>979</v>
      </c>
      <c r="B971" t="s">
        <v>93</v>
      </c>
      <c r="C971" t="str">
        <f t="shared" si="61"/>
        <v>13-Feb-2011</v>
      </c>
      <c r="D971">
        <v>1</v>
      </c>
      <c r="E971">
        <v>0</v>
      </c>
      <c r="F971">
        <v>2</v>
      </c>
      <c r="G971" t="str">
        <f t="shared" si="60"/>
        <v>Feb</v>
      </c>
      <c r="H971">
        <v>10</v>
      </c>
      <c r="I971">
        <f t="shared" si="62"/>
        <v>0</v>
      </c>
      <c r="J971" t="s">
        <v>125</v>
      </c>
      <c r="K971">
        <v>0</v>
      </c>
      <c r="L971" t="str">
        <f t="shared" si="63"/>
        <v>Weekend</v>
      </c>
      <c r="M971">
        <v>1</v>
      </c>
      <c r="N971" t="str" cm="1">
        <f t="array" ref="N971">_xlfn.IFS(M971=1,"Sunny Day",M971=2,"Cloudy Day",M971=3,"Rainy Day",M971=4,"Heavy Rain")</f>
        <v>Sunny Day</v>
      </c>
      <c r="O971">
        <v>0.3</v>
      </c>
      <c r="P971">
        <v>0.2727</v>
      </c>
      <c r="Q971">
        <v>0.45</v>
      </c>
      <c r="R971">
        <v>0.32840000000000003</v>
      </c>
      <c r="S971">
        <v>19</v>
      </c>
      <c r="T971">
        <v>86</v>
      </c>
      <c r="U971">
        <v>105</v>
      </c>
    </row>
    <row r="972" spans="1:21" x14ac:dyDescent="0.3">
      <c r="A972">
        <v>980</v>
      </c>
      <c r="B972" t="s">
        <v>93</v>
      </c>
      <c r="C972" t="str">
        <f t="shared" si="61"/>
        <v>13-Feb-2011</v>
      </c>
      <c r="D972">
        <v>1</v>
      </c>
      <c r="E972">
        <v>0</v>
      </c>
      <c r="F972">
        <v>2</v>
      </c>
      <c r="G972" t="str">
        <f t="shared" si="60"/>
        <v>Feb</v>
      </c>
      <c r="H972">
        <v>11</v>
      </c>
      <c r="I972">
        <f t="shared" si="62"/>
        <v>1</v>
      </c>
      <c r="J972" t="s">
        <v>125</v>
      </c>
      <c r="K972">
        <v>0</v>
      </c>
      <c r="L972" t="str">
        <f t="shared" si="63"/>
        <v>Weekend</v>
      </c>
      <c r="M972">
        <v>1</v>
      </c>
      <c r="N972" t="str" cm="1">
        <f t="array" ref="N972">_xlfn.IFS(M972=1,"Sunny Day",M972=2,"Cloudy Day",M972=3,"Rainy Day",M972=4,"Heavy Rain")</f>
        <v>Sunny Day</v>
      </c>
      <c r="O972">
        <v>0.32</v>
      </c>
      <c r="P972">
        <v>0.28789999999999999</v>
      </c>
      <c r="Q972">
        <v>0.39</v>
      </c>
      <c r="R972">
        <v>0.44779999999999998</v>
      </c>
      <c r="S972">
        <v>26</v>
      </c>
      <c r="T972">
        <v>86</v>
      </c>
      <c r="U972">
        <v>112</v>
      </c>
    </row>
    <row r="973" spans="1:21" x14ac:dyDescent="0.3">
      <c r="A973">
        <v>981</v>
      </c>
      <c r="B973" t="s">
        <v>93</v>
      </c>
      <c r="C973" t="str">
        <f t="shared" si="61"/>
        <v>13-Feb-2011</v>
      </c>
      <c r="D973">
        <v>1</v>
      </c>
      <c r="E973">
        <v>0</v>
      </c>
      <c r="F973">
        <v>2</v>
      </c>
      <c r="G973" t="str">
        <f t="shared" si="60"/>
        <v>Feb</v>
      </c>
      <c r="H973">
        <v>12</v>
      </c>
      <c r="I973">
        <f t="shared" si="62"/>
        <v>1</v>
      </c>
      <c r="J973" t="s">
        <v>125</v>
      </c>
      <c r="K973">
        <v>0</v>
      </c>
      <c r="L973" t="str">
        <f t="shared" si="63"/>
        <v>Weekend</v>
      </c>
      <c r="M973">
        <v>1</v>
      </c>
      <c r="N973" t="str" cm="1">
        <f t="array" ref="N973">_xlfn.IFS(M973=1,"Sunny Day",M973=2,"Cloudy Day",M973=3,"Rainy Day",M973=4,"Heavy Rain")</f>
        <v>Sunny Day</v>
      </c>
      <c r="O973">
        <v>0.36</v>
      </c>
      <c r="P973">
        <v>0.31819999999999998</v>
      </c>
      <c r="Q973">
        <v>0.32</v>
      </c>
      <c r="R973">
        <v>0.4627</v>
      </c>
      <c r="S973">
        <v>58</v>
      </c>
      <c r="T973">
        <v>94</v>
      </c>
      <c r="U973">
        <v>152</v>
      </c>
    </row>
    <row r="974" spans="1:21" x14ac:dyDescent="0.3">
      <c r="A974">
        <v>982</v>
      </c>
      <c r="B974" t="s">
        <v>93</v>
      </c>
      <c r="C974" t="str">
        <f t="shared" si="61"/>
        <v>13-Feb-2011</v>
      </c>
      <c r="D974">
        <v>1</v>
      </c>
      <c r="E974">
        <v>0</v>
      </c>
      <c r="F974">
        <v>2</v>
      </c>
      <c r="G974" t="str">
        <f t="shared" si="60"/>
        <v>Feb</v>
      </c>
      <c r="H974">
        <v>13</v>
      </c>
      <c r="I974">
        <f t="shared" si="62"/>
        <v>1</v>
      </c>
      <c r="J974" t="s">
        <v>125</v>
      </c>
      <c r="K974">
        <v>0</v>
      </c>
      <c r="L974" t="str">
        <f t="shared" si="63"/>
        <v>Weekend</v>
      </c>
      <c r="M974">
        <v>1</v>
      </c>
      <c r="N974" t="str" cm="1">
        <f t="array" ref="N974">_xlfn.IFS(M974=1,"Sunny Day",M974=2,"Cloudy Day",M974=3,"Rainy Day",M974=4,"Heavy Rain")</f>
        <v>Sunny Day</v>
      </c>
      <c r="O974">
        <v>0.38</v>
      </c>
      <c r="P974">
        <v>0.39389999999999997</v>
      </c>
      <c r="Q974">
        <v>0.28999999999999998</v>
      </c>
      <c r="R974">
        <v>0.35820000000000002</v>
      </c>
      <c r="S974">
        <v>62</v>
      </c>
      <c r="T974">
        <v>92</v>
      </c>
      <c r="U974">
        <v>154</v>
      </c>
    </row>
    <row r="975" spans="1:21" x14ac:dyDescent="0.3">
      <c r="A975">
        <v>983</v>
      </c>
      <c r="B975" t="s">
        <v>93</v>
      </c>
      <c r="C975" t="str">
        <f t="shared" si="61"/>
        <v>13-Feb-2011</v>
      </c>
      <c r="D975">
        <v>1</v>
      </c>
      <c r="E975">
        <v>0</v>
      </c>
      <c r="F975">
        <v>2</v>
      </c>
      <c r="G975" t="str">
        <f t="shared" si="60"/>
        <v>Feb</v>
      </c>
      <c r="H975">
        <v>14</v>
      </c>
      <c r="I975">
        <f t="shared" si="62"/>
        <v>1</v>
      </c>
      <c r="J975" t="s">
        <v>125</v>
      </c>
      <c r="K975">
        <v>0</v>
      </c>
      <c r="L975" t="str">
        <f t="shared" si="63"/>
        <v>Weekend</v>
      </c>
      <c r="M975">
        <v>2</v>
      </c>
      <c r="N975" t="str" cm="1">
        <f t="array" ref="N975">_xlfn.IFS(M975=1,"Sunny Day",M975=2,"Cloudy Day",M975=3,"Rainy Day",M975=4,"Heavy Rain")</f>
        <v>Cloudy Day</v>
      </c>
      <c r="O975">
        <v>0.4</v>
      </c>
      <c r="P975">
        <v>0.40910000000000002</v>
      </c>
      <c r="Q975">
        <v>0.3</v>
      </c>
      <c r="R975">
        <v>0.41789999999999999</v>
      </c>
      <c r="S975">
        <v>51</v>
      </c>
      <c r="T975">
        <v>110</v>
      </c>
      <c r="U975">
        <v>161</v>
      </c>
    </row>
    <row r="976" spans="1:21" x14ac:dyDescent="0.3">
      <c r="A976">
        <v>984</v>
      </c>
      <c r="B976" t="s">
        <v>93</v>
      </c>
      <c r="C976" t="str">
        <f t="shared" si="61"/>
        <v>13-Feb-2011</v>
      </c>
      <c r="D976">
        <v>1</v>
      </c>
      <c r="E976">
        <v>0</v>
      </c>
      <c r="F976">
        <v>2</v>
      </c>
      <c r="G976" t="str">
        <f t="shared" si="60"/>
        <v>Feb</v>
      </c>
      <c r="H976">
        <v>15</v>
      </c>
      <c r="I976">
        <f t="shared" si="62"/>
        <v>1</v>
      </c>
      <c r="J976" t="s">
        <v>125</v>
      </c>
      <c r="K976">
        <v>0</v>
      </c>
      <c r="L976" t="str">
        <f t="shared" si="63"/>
        <v>Weekend</v>
      </c>
      <c r="M976">
        <v>2</v>
      </c>
      <c r="N976" t="str" cm="1">
        <f t="array" ref="N976">_xlfn.IFS(M976=1,"Sunny Day",M976=2,"Cloudy Day",M976=3,"Rainy Day",M976=4,"Heavy Rain")</f>
        <v>Cloudy Day</v>
      </c>
      <c r="O976">
        <v>0.4</v>
      </c>
      <c r="P976">
        <v>0.40910000000000002</v>
      </c>
      <c r="Q976">
        <v>0.3</v>
      </c>
      <c r="R976">
        <v>0.29849999999999999</v>
      </c>
      <c r="S976">
        <v>40</v>
      </c>
      <c r="T976">
        <v>122</v>
      </c>
      <c r="U976">
        <v>162</v>
      </c>
    </row>
    <row r="977" spans="1:21" x14ac:dyDescent="0.3">
      <c r="A977">
        <v>985</v>
      </c>
      <c r="B977" t="s">
        <v>93</v>
      </c>
      <c r="C977" t="str">
        <f t="shared" si="61"/>
        <v>13-Feb-2011</v>
      </c>
      <c r="D977">
        <v>1</v>
      </c>
      <c r="E977">
        <v>0</v>
      </c>
      <c r="F977">
        <v>2</v>
      </c>
      <c r="G977" t="str">
        <f t="shared" si="60"/>
        <v>Feb</v>
      </c>
      <c r="H977">
        <v>16</v>
      </c>
      <c r="I977">
        <f t="shared" si="62"/>
        <v>1</v>
      </c>
      <c r="J977" t="s">
        <v>125</v>
      </c>
      <c r="K977">
        <v>0</v>
      </c>
      <c r="L977" t="str">
        <f t="shared" si="63"/>
        <v>Weekend</v>
      </c>
      <c r="M977">
        <v>2</v>
      </c>
      <c r="N977" t="str" cm="1">
        <f t="array" ref="N977">_xlfn.IFS(M977=1,"Sunny Day",M977=2,"Cloudy Day",M977=3,"Rainy Day",M977=4,"Heavy Rain")</f>
        <v>Cloudy Day</v>
      </c>
      <c r="O977">
        <v>0.42</v>
      </c>
      <c r="P977">
        <v>0.42420000000000002</v>
      </c>
      <c r="Q977">
        <v>0.28000000000000003</v>
      </c>
      <c r="R977">
        <v>0.32840000000000003</v>
      </c>
      <c r="S977">
        <v>28</v>
      </c>
      <c r="T977">
        <v>106</v>
      </c>
      <c r="U977">
        <v>134</v>
      </c>
    </row>
    <row r="978" spans="1:21" x14ac:dyDescent="0.3">
      <c r="A978">
        <v>986</v>
      </c>
      <c r="B978" t="s">
        <v>93</v>
      </c>
      <c r="C978" t="str">
        <f t="shared" si="61"/>
        <v>13-Feb-2011</v>
      </c>
      <c r="D978">
        <v>1</v>
      </c>
      <c r="E978">
        <v>0</v>
      </c>
      <c r="F978">
        <v>2</v>
      </c>
      <c r="G978" t="str">
        <f t="shared" si="60"/>
        <v>Feb</v>
      </c>
      <c r="H978">
        <v>17</v>
      </c>
      <c r="I978">
        <f t="shared" si="62"/>
        <v>1</v>
      </c>
      <c r="J978" t="s">
        <v>125</v>
      </c>
      <c r="K978">
        <v>0</v>
      </c>
      <c r="L978" t="str">
        <f t="shared" si="63"/>
        <v>Weekend</v>
      </c>
      <c r="M978">
        <v>1</v>
      </c>
      <c r="N978" t="str" cm="1">
        <f t="array" ref="N978">_xlfn.IFS(M978=1,"Sunny Day",M978=2,"Cloudy Day",M978=3,"Rainy Day",M978=4,"Heavy Rain")</f>
        <v>Sunny Day</v>
      </c>
      <c r="O978">
        <v>0.42</v>
      </c>
      <c r="P978">
        <v>0.42420000000000002</v>
      </c>
      <c r="Q978">
        <v>0.28000000000000003</v>
      </c>
      <c r="R978">
        <v>0.32840000000000003</v>
      </c>
      <c r="S978">
        <v>30</v>
      </c>
      <c r="T978">
        <v>95</v>
      </c>
      <c r="U978">
        <v>125</v>
      </c>
    </row>
    <row r="979" spans="1:21" x14ac:dyDescent="0.3">
      <c r="A979">
        <v>987</v>
      </c>
      <c r="B979" t="s">
        <v>93</v>
      </c>
      <c r="C979" t="str">
        <f t="shared" si="61"/>
        <v>13-Feb-2011</v>
      </c>
      <c r="D979">
        <v>1</v>
      </c>
      <c r="E979">
        <v>0</v>
      </c>
      <c r="F979">
        <v>2</v>
      </c>
      <c r="G979" t="str">
        <f t="shared" si="60"/>
        <v>Feb</v>
      </c>
      <c r="H979">
        <v>18</v>
      </c>
      <c r="I979">
        <f t="shared" si="62"/>
        <v>1</v>
      </c>
      <c r="J979" t="s">
        <v>125</v>
      </c>
      <c r="K979">
        <v>0</v>
      </c>
      <c r="L979" t="str">
        <f t="shared" si="63"/>
        <v>Weekend</v>
      </c>
      <c r="M979">
        <v>1</v>
      </c>
      <c r="N979" t="str" cm="1">
        <f t="array" ref="N979">_xlfn.IFS(M979=1,"Sunny Day",M979=2,"Cloudy Day",M979=3,"Rainy Day",M979=4,"Heavy Rain")</f>
        <v>Sunny Day</v>
      </c>
      <c r="O979">
        <v>0.4</v>
      </c>
      <c r="P979">
        <v>0.40910000000000002</v>
      </c>
      <c r="Q979">
        <v>0.32</v>
      </c>
      <c r="R979">
        <v>0.29849999999999999</v>
      </c>
      <c r="S979">
        <v>17</v>
      </c>
      <c r="T979">
        <v>78</v>
      </c>
      <c r="U979">
        <v>95</v>
      </c>
    </row>
    <row r="980" spans="1:21" x14ac:dyDescent="0.3">
      <c r="A980">
        <v>988</v>
      </c>
      <c r="B980" t="s">
        <v>93</v>
      </c>
      <c r="C980" t="str">
        <f t="shared" si="61"/>
        <v>13-Feb-2011</v>
      </c>
      <c r="D980">
        <v>1</v>
      </c>
      <c r="E980">
        <v>0</v>
      </c>
      <c r="F980">
        <v>2</v>
      </c>
      <c r="G980" t="str">
        <f t="shared" si="60"/>
        <v>Feb</v>
      </c>
      <c r="H980">
        <v>19</v>
      </c>
      <c r="I980">
        <f t="shared" si="62"/>
        <v>1</v>
      </c>
      <c r="J980" t="s">
        <v>125</v>
      </c>
      <c r="K980">
        <v>0</v>
      </c>
      <c r="L980" t="str">
        <f t="shared" si="63"/>
        <v>Weekend</v>
      </c>
      <c r="M980">
        <v>1</v>
      </c>
      <c r="N980" t="str" cm="1">
        <f t="array" ref="N980">_xlfn.IFS(M980=1,"Sunny Day",M980=2,"Cloudy Day",M980=3,"Rainy Day",M980=4,"Heavy Rain")</f>
        <v>Sunny Day</v>
      </c>
      <c r="O980">
        <v>0.4</v>
      </c>
      <c r="P980">
        <v>0.40910000000000002</v>
      </c>
      <c r="Q980">
        <v>0.35</v>
      </c>
      <c r="R980">
        <v>0.28360000000000002</v>
      </c>
      <c r="S980">
        <v>11</v>
      </c>
      <c r="T980">
        <v>50</v>
      </c>
      <c r="U980">
        <v>61</v>
      </c>
    </row>
    <row r="981" spans="1:21" x14ac:dyDescent="0.3">
      <c r="A981">
        <v>989</v>
      </c>
      <c r="B981" t="s">
        <v>93</v>
      </c>
      <c r="C981" t="str">
        <f t="shared" si="61"/>
        <v>13-Feb-2011</v>
      </c>
      <c r="D981">
        <v>1</v>
      </c>
      <c r="E981">
        <v>0</v>
      </c>
      <c r="F981">
        <v>2</v>
      </c>
      <c r="G981" t="str">
        <f t="shared" si="60"/>
        <v>Feb</v>
      </c>
      <c r="H981">
        <v>20</v>
      </c>
      <c r="I981">
        <f t="shared" si="62"/>
        <v>1</v>
      </c>
      <c r="J981" t="s">
        <v>125</v>
      </c>
      <c r="K981">
        <v>0</v>
      </c>
      <c r="L981" t="str">
        <f t="shared" si="63"/>
        <v>Weekend</v>
      </c>
      <c r="M981">
        <v>1</v>
      </c>
      <c r="N981" t="str" cm="1">
        <f t="array" ref="N981">_xlfn.IFS(M981=1,"Sunny Day",M981=2,"Cloudy Day",M981=3,"Rainy Day",M981=4,"Heavy Rain")</f>
        <v>Sunny Day</v>
      </c>
      <c r="O981">
        <v>0.4</v>
      </c>
      <c r="P981">
        <v>0.40910000000000002</v>
      </c>
      <c r="Q981">
        <v>0.35</v>
      </c>
      <c r="R981">
        <v>0.32840000000000003</v>
      </c>
      <c r="S981">
        <v>15</v>
      </c>
      <c r="T981">
        <v>32</v>
      </c>
      <c r="U981">
        <v>47</v>
      </c>
    </row>
    <row r="982" spans="1:21" x14ac:dyDescent="0.3">
      <c r="A982">
        <v>990</v>
      </c>
      <c r="B982" t="s">
        <v>93</v>
      </c>
      <c r="C982" t="str">
        <f t="shared" si="61"/>
        <v>13-Feb-2011</v>
      </c>
      <c r="D982">
        <v>1</v>
      </c>
      <c r="E982">
        <v>0</v>
      </c>
      <c r="F982">
        <v>2</v>
      </c>
      <c r="G982" t="str">
        <f t="shared" si="60"/>
        <v>Feb</v>
      </c>
      <c r="H982">
        <v>21</v>
      </c>
      <c r="I982">
        <f t="shared" si="62"/>
        <v>1</v>
      </c>
      <c r="J982" t="s">
        <v>125</v>
      </c>
      <c r="K982">
        <v>0</v>
      </c>
      <c r="L982" t="str">
        <f t="shared" si="63"/>
        <v>Weekend</v>
      </c>
      <c r="M982">
        <v>1</v>
      </c>
      <c r="N982" t="str" cm="1">
        <f t="array" ref="N982">_xlfn.IFS(M982=1,"Sunny Day",M982=2,"Cloudy Day",M982=3,"Rainy Day",M982=4,"Heavy Rain")</f>
        <v>Sunny Day</v>
      </c>
      <c r="O982">
        <v>0.4</v>
      </c>
      <c r="P982">
        <v>0.40910000000000002</v>
      </c>
      <c r="Q982">
        <v>0.35</v>
      </c>
      <c r="R982">
        <v>0.35820000000000002</v>
      </c>
      <c r="S982">
        <v>6</v>
      </c>
      <c r="T982">
        <v>45</v>
      </c>
      <c r="U982">
        <v>51</v>
      </c>
    </row>
    <row r="983" spans="1:21" x14ac:dyDescent="0.3">
      <c r="A983">
        <v>991</v>
      </c>
      <c r="B983" t="s">
        <v>93</v>
      </c>
      <c r="C983" t="str">
        <f t="shared" si="61"/>
        <v>13-Feb-2011</v>
      </c>
      <c r="D983">
        <v>1</v>
      </c>
      <c r="E983">
        <v>0</v>
      </c>
      <c r="F983">
        <v>2</v>
      </c>
      <c r="G983" t="str">
        <f t="shared" si="60"/>
        <v>Feb</v>
      </c>
      <c r="H983">
        <v>22</v>
      </c>
      <c r="I983">
        <f t="shared" si="62"/>
        <v>1</v>
      </c>
      <c r="J983" t="s">
        <v>125</v>
      </c>
      <c r="K983">
        <v>0</v>
      </c>
      <c r="L983" t="str">
        <f t="shared" si="63"/>
        <v>Weekend</v>
      </c>
      <c r="M983">
        <v>1</v>
      </c>
      <c r="N983" t="str" cm="1">
        <f t="array" ref="N983">_xlfn.IFS(M983=1,"Sunny Day",M983=2,"Cloudy Day",M983=3,"Rainy Day",M983=4,"Heavy Rain")</f>
        <v>Sunny Day</v>
      </c>
      <c r="O983">
        <v>0.4</v>
      </c>
      <c r="P983">
        <v>0.40910000000000002</v>
      </c>
      <c r="Q983">
        <v>0.35</v>
      </c>
      <c r="R983">
        <v>0.29849999999999999</v>
      </c>
      <c r="S983">
        <v>5</v>
      </c>
      <c r="T983">
        <v>31</v>
      </c>
      <c r="U983">
        <v>36</v>
      </c>
    </row>
    <row r="984" spans="1:21" x14ac:dyDescent="0.3">
      <c r="A984">
        <v>992</v>
      </c>
      <c r="B984" t="s">
        <v>93</v>
      </c>
      <c r="C984" t="str">
        <f t="shared" si="61"/>
        <v>13-Feb-2011</v>
      </c>
      <c r="D984">
        <v>1</v>
      </c>
      <c r="E984">
        <v>0</v>
      </c>
      <c r="F984">
        <v>2</v>
      </c>
      <c r="G984" t="str">
        <f t="shared" si="60"/>
        <v>Feb</v>
      </c>
      <c r="H984">
        <v>23</v>
      </c>
      <c r="I984">
        <f t="shared" si="62"/>
        <v>1</v>
      </c>
      <c r="J984" t="s">
        <v>125</v>
      </c>
      <c r="K984">
        <v>0</v>
      </c>
      <c r="L984" t="str">
        <f t="shared" si="63"/>
        <v>Weekend</v>
      </c>
      <c r="M984">
        <v>1</v>
      </c>
      <c r="N984" t="str" cm="1">
        <f t="array" ref="N984">_xlfn.IFS(M984=1,"Sunny Day",M984=2,"Cloudy Day",M984=3,"Rainy Day",M984=4,"Heavy Rain")</f>
        <v>Sunny Day</v>
      </c>
      <c r="O984">
        <v>0.4</v>
      </c>
      <c r="P984">
        <v>0.40910000000000002</v>
      </c>
      <c r="Q984">
        <v>0.35</v>
      </c>
      <c r="R984">
        <v>0.35820000000000002</v>
      </c>
      <c r="S984">
        <v>3</v>
      </c>
      <c r="T984">
        <v>27</v>
      </c>
      <c r="U984">
        <v>30</v>
      </c>
    </row>
    <row r="985" spans="1:21" x14ac:dyDescent="0.3">
      <c r="A985">
        <v>993</v>
      </c>
      <c r="B985" t="s">
        <v>95</v>
      </c>
      <c r="C985" t="str">
        <f t="shared" si="61"/>
        <v>14-Feb-2011</v>
      </c>
      <c r="D985">
        <v>1</v>
      </c>
      <c r="E985">
        <v>0</v>
      </c>
      <c r="F985">
        <v>2</v>
      </c>
      <c r="G985" t="str">
        <f t="shared" si="60"/>
        <v>Feb</v>
      </c>
      <c r="H985">
        <v>0</v>
      </c>
      <c r="I985">
        <f t="shared" si="62"/>
        <v>0</v>
      </c>
      <c r="J985" t="s">
        <v>126</v>
      </c>
      <c r="K985">
        <v>1</v>
      </c>
      <c r="L985" t="str">
        <f t="shared" si="63"/>
        <v>Weekday</v>
      </c>
      <c r="M985">
        <v>1</v>
      </c>
      <c r="N985" t="str" cm="1">
        <f t="array" ref="N985">_xlfn.IFS(M985=1,"Sunny Day",M985=2,"Cloudy Day",M985=3,"Rainy Day",M985=4,"Heavy Rain")</f>
        <v>Sunny Day</v>
      </c>
      <c r="O985">
        <v>0.38</v>
      </c>
      <c r="P985">
        <v>0.39389999999999997</v>
      </c>
      <c r="Q985">
        <v>0.37</v>
      </c>
      <c r="R985">
        <v>0.35820000000000002</v>
      </c>
      <c r="S985">
        <v>3</v>
      </c>
      <c r="T985">
        <v>8</v>
      </c>
      <c r="U985">
        <v>11</v>
      </c>
    </row>
    <row r="986" spans="1:21" x14ac:dyDescent="0.3">
      <c r="A986">
        <v>994</v>
      </c>
      <c r="B986" t="s">
        <v>95</v>
      </c>
      <c r="C986" t="str">
        <f t="shared" si="61"/>
        <v>14-Feb-2011</v>
      </c>
      <c r="D986">
        <v>1</v>
      </c>
      <c r="E986">
        <v>0</v>
      </c>
      <c r="F986">
        <v>2</v>
      </c>
      <c r="G986" t="str">
        <f t="shared" si="60"/>
        <v>Feb</v>
      </c>
      <c r="H986">
        <v>1</v>
      </c>
      <c r="I986">
        <f t="shared" si="62"/>
        <v>0</v>
      </c>
      <c r="J986" t="s">
        <v>126</v>
      </c>
      <c r="K986">
        <v>1</v>
      </c>
      <c r="L986" t="str">
        <f t="shared" si="63"/>
        <v>Weekday</v>
      </c>
      <c r="M986">
        <v>1</v>
      </c>
      <c r="N986" t="str" cm="1">
        <f t="array" ref="N986">_xlfn.IFS(M986=1,"Sunny Day",M986=2,"Cloudy Day",M986=3,"Rainy Day",M986=4,"Heavy Rain")</f>
        <v>Sunny Day</v>
      </c>
      <c r="O986">
        <v>0.38</v>
      </c>
      <c r="P986">
        <v>0.39389999999999997</v>
      </c>
      <c r="Q986">
        <v>0.37</v>
      </c>
      <c r="R986">
        <v>0.35820000000000002</v>
      </c>
      <c r="S986">
        <v>1</v>
      </c>
      <c r="T986">
        <v>6</v>
      </c>
      <c r="U986">
        <v>7</v>
      </c>
    </row>
    <row r="987" spans="1:21" x14ac:dyDescent="0.3">
      <c r="A987">
        <v>995</v>
      </c>
      <c r="B987" t="s">
        <v>95</v>
      </c>
      <c r="C987" t="str">
        <f t="shared" si="61"/>
        <v>14-Feb-2011</v>
      </c>
      <c r="D987">
        <v>1</v>
      </c>
      <c r="E987">
        <v>0</v>
      </c>
      <c r="F987">
        <v>2</v>
      </c>
      <c r="G987" t="str">
        <f t="shared" si="60"/>
        <v>Feb</v>
      </c>
      <c r="H987">
        <v>2</v>
      </c>
      <c r="I987">
        <f t="shared" si="62"/>
        <v>0</v>
      </c>
      <c r="J987" t="s">
        <v>126</v>
      </c>
      <c r="K987">
        <v>1</v>
      </c>
      <c r="L987" t="str">
        <f t="shared" si="63"/>
        <v>Weekday</v>
      </c>
      <c r="M987">
        <v>1</v>
      </c>
      <c r="N987" t="str" cm="1">
        <f t="array" ref="N987">_xlfn.IFS(M987=1,"Sunny Day",M987=2,"Cloudy Day",M987=3,"Rainy Day",M987=4,"Heavy Rain")</f>
        <v>Sunny Day</v>
      </c>
      <c r="O987">
        <v>0.36</v>
      </c>
      <c r="P987">
        <v>0.33329999999999999</v>
      </c>
      <c r="Q987">
        <v>0.4</v>
      </c>
      <c r="R987">
        <v>0.29849999999999999</v>
      </c>
      <c r="S987">
        <v>0</v>
      </c>
      <c r="T987">
        <v>2</v>
      </c>
      <c r="U987">
        <v>2</v>
      </c>
    </row>
    <row r="988" spans="1:21" x14ac:dyDescent="0.3">
      <c r="A988">
        <v>996</v>
      </c>
      <c r="B988" t="s">
        <v>95</v>
      </c>
      <c r="C988" t="str">
        <f t="shared" si="61"/>
        <v>14-Feb-2011</v>
      </c>
      <c r="D988">
        <v>1</v>
      </c>
      <c r="E988">
        <v>0</v>
      </c>
      <c r="F988">
        <v>2</v>
      </c>
      <c r="G988" t="str">
        <f t="shared" si="60"/>
        <v>Feb</v>
      </c>
      <c r="H988">
        <v>3</v>
      </c>
      <c r="I988">
        <f t="shared" si="62"/>
        <v>0</v>
      </c>
      <c r="J988" t="s">
        <v>126</v>
      </c>
      <c r="K988">
        <v>1</v>
      </c>
      <c r="L988" t="str">
        <f t="shared" si="63"/>
        <v>Weekday</v>
      </c>
      <c r="M988">
        <v>1</v>
      </c>
      <c r="N988" t="str" cm="1">
        <f t="array" ref="N988">_xlfn.IFS(M988=1,"Sunny Day",M988=2,"Cloudy Day",M988=3,"Rainy Day",M988=4,"Heavy Rain")</f>
        <v>Sunny Day</v>
      </c>
      <c r="O988">
        <v>0.34</v>
      </c>
      <c r="P988">
        <v>0.31819999999999998</v>
      </c>
      <c r="Q988">
        <v>0.46</v>
      </c>
      <c r="R988">
        <v>0.22389999999999999</v>
      </c>
      <c r="S988">
        <v>1</v>
      </c>
      <c r="T988">
        <v>1</v>
      </c>
      <c r="U988">
        <v>2</v>
      </c>
    </row>
    <row r="989" spans="1:21" x14ac:dyDescent="0.3">
      <c r="A989">
        <v>997</v>
      </c>
      <c r="B989" t="s">
        <v>95</v>
      </c>
      <c r="C989" t="str">
        <f t="shared" si="61"/>
        <v>14-Feb-2011</v>
      </c>
      <c r="D989">
        <v>1</v>
      </c>
      <c r="E989">
        <v>0</v>
      </c>
      <c r="F989">
        <v>2</v>
      </c>
      <c r="G989" t="str">
        <f t="shared" si="60"/>
        <v>Feb</v>
      </c>
      <c r="H989">
        <v>4</v>
      </c>
      <c r="I989">
        <f t="shared" si="62"/>
        <v>0</v>
      </c>
      <c r="J989" t="s">
        <v>126</v>
      </c>
      <c r="K989">
        <v>1</v>
      </c>
      <c r="L989" t="str">
        <f t="shared" si="63"/>
        <v>Weekday</v>
      </c>
      <c r="M989">
        <v>1</v>
      </c>
      <c r="N989" t="str" cm="1">
        <f t="array" ref="N989">_xlfn.IFS(M989=1,"Sunny Day",M989=2,"Cloudy Day",M989=3,"Rainy Day",M989=4,"Heavy Rain")</f>
        <v>Sunny Day</v>
      </c>
      <c r="O989">
        <v>0.32</v>
      </c>
      <c r="P989">
        <v>0.30299999999999999</v>
      </c>
      <c r="Q989">
        <v>0.53</v>
      </c>
      <c r="R989">
        <v>0.28360000000000002</v>
      </c>
      <c r="S989">
        <v>0</v>
      </c>
      <c r="T989">
        <v>2</v>
      </c>
      <c r="U989">
        <v>2</v>
      </c>
    </row>
    <row r="990" spans="1:21" x14ac:dyDescent="0.3">
      <c r="A990">
        <v>998</v>
      </c>
      <c r="B990" t="s">
        <v>95</v>
      </c>
      <c r="C990" t="str">
        <f t="shared" si="61"/>
        <v>14-Feb-2011</v>
      </c>
      <c r="D990">
        <v>1</v>
      </c>
      <c r="E990">
        <v>0</v>
      </c>
      <c r="F990">
        <v>2</v>
      </c>
      <c r="G990" t="str">
        <f t="shared" si="60"/>
        <v>Feb</v>
      </c>
      <c r="H990">
        <v>5</v>
      </c>
      <c r="I990">
        <f t="shared" si="62"/>
        <v>0</v>
      </c>
      <c r="J990" t="s">
        <v>126</v>
      </c>
      <c r="K990">
        <v>1</v>
      </c>
      <c r="L990" t="str">
        <f t="shared" si="63"/>
        <v>Weekday</v>
      </c>
      <c r="M990">
        <v>1</v>
      </c>
      <c r="N990" t="str" cm="1">
        <f t="array" ref="N990">_xlfn.IFS(M990=1,"Sunny Day",M990=2,"Cloudy Day",M990=3,"Rainy Day",M990=4,"Heavy Rain")</f>
        <v>Sunny Day</v>
      </c>
      <c r="O990">
        <v>0.32</v>
      </c>
      <c r="P990">
        <v>0.30299999999999999</v>
      </c>
      <c r="Q990">
        <v>0.53</v>
      </c>
      <c r="R990">
        <v>0.28360000000000002</v>
      </c>
      <c r="S990">
        <v>0</v>
      </c>
      <c r="T990">
        <v>3</v>
      </c>
      <c r="U990">
        <v>3</v>
      </c>
    </row>
    <row r="991" spans="1:21" x14ac:dyDescent="0.3">
      <c r="A991">
        <v>999</v>
      </c>
      <c r="B991" t="s">
        <v>95</v>
      </c>
      <c r="C991" t="str">
        <f t="shared" si="61"/>
        <v>14-Feb-2011</v>
      </c>
      <c r="D991">
        <v>1</v>
      </c>
      <c r="E991">
        <v>0</v>
      </c>
      <c r="F991">
        <v>2</v>
      </c>
      <c r="G991" t="str">
        <f t="shared" si="60"/>
        <v>Feb</v>
      </c>
      <c r="H991">
        <v>6</v>
      </c>
      <c r="I991">
        <f t="shared" si="62"/>
        <v>0</v>
      </c>
      <c r="J991" t="s">
        <v>126</v>
      </c>
      <c r="K991">
        <v>1</v>
      </c>
      <c r="L991" t="str">
        <f t="shared" si="63"/>
        <v>Weekday</v>
      </c>
      <c r="M991">
        <v>1</v>
      </c>
      <c r="N991" t="str" cm="1">
        <f t="array" ref="N991">_xlfn.IFS(M991=1,"Sunny Day",M991=2,"Cloudy Day",M991=3,"Rainy Day",M991=4,"Heavy Rain")</f>
        <v>Sunny Day</v>
      </c>
      <c r="O991">
        <v>0.34</v>
      </c>
      <c r="P991">
        <v>0.30299999999999999</v>
      </c>
      <c r="Q991">
        <v>0.46</v>
      </c>
      <c r="R991">
        <v>0.29849999999999999</v>
      </c>
      <c r="S991">
        <v>1</v>
      </c>
      <c r="T991">
        <v>25</v>
      </c>
      <c r="U991">
        <v>26</v>
      </c>
    </row>
    <row r="992" spans="1:21" x14ac:dyDescent="0.3">
      <c r="A992">
        <v>1000</v>
      </c>
      <c r="B992" t="s">
        <v>95</v>
      </c>
      <c r="C992" t="str">
        <f t="shared" si="61"/>
        <v>14-Feb-2011</v>
      </c>
      <c r="D992">
        <v>1</v>
      </c>
      <c r="E992">
        <v>0</v>
      </c>
      <c r="F992">
        <v>2</v>
      </c>
      <c r="G992" t="str">
        <f t="shared" si="60"/>
        <v>Feb</v>
      </c>
      <c r="H992">
        <v>7</v>
      </c>
      <c r="I992">
        <f t="shared" si="62"/>
        <v>0</v>
      </c>
      <c r="J992" t="s">
        <v>126</v>
      </c>
      <c r="K992">
        <v>1</v>
      </c>
      <c r="L992" t="str">
        <f t="shared" si="63"/>
        <v>Weekday</v>
      </c>
      <c r="M992">
        <v>1</v>
      </c>
      <c r="N992" t="str" cm="1">
        <f t="array" ref="N992">_xlfn.IFS(M992=1,"Sunny Day",M992=2,"Cloudy Day",M992=3,"Rainy Day",M992=4,"Heavy Rain")</f>
        <v>Sunny Day</v>
      </c>
      <c r="O992">
        <v>0.34</v>
      </c>
      <c r="P992">
        <v>0.30299999999999999</v>
      </c>
      <c r="Q992">
        <v>0.46</v>
      </c>
      <c r="R992">
        <v>0.29849999999999999</v>
      </c>
      <c r="S992">
        <v>2</v>
      </c>
      <c r="T992">
        <v>96</v>
      </c>
      <c r="U992">
        <v>98</v>
      </c>
    </row>
    <row r="993" spans="1:21" x14ac:dyDescent="0.3">
      <c r="A993">
        <v>611</v>
      </c>
      <c r="B993" t="s">
        <v>60</v>
      </c>
      <c r="C993" t="str">
        <f t="shared" si="61"/>
        <v>28-Jan-2011</v>
      </c>
      <c r="D993">
        <v>1</v>
      </c>
      <c r="E993">
        <v>0</v>
      </c>
      <c r="F993">
        <v>1</v>
      </c>
      <c r="G993" t="str">
        <f t="shared" si="60"/>
        <v>Jan</v>
      </c>
      <c r="H993">
        <v>16</v>
      </c>
      <c r="I993">
        <f t="shared" si="62"/>
        <v>1</v>
      </c>
      <c r="J993" t="s">
        <v>126</v>
      </c>
      <c r="K993">
        <v>5</v>
      </c>
      <c r="L993" t="str">
        <f t="shared" si="63"/>
        <v>Weekday</v>
      </c>
      <c r="M993">
        <v>1</v>
      </c>
      <c r="N993" t="str" cm="1">
        <f t="array" ref="N993">_xlfn.IFS(M993=1,"Sunny Day",M993=2,"Cloudy Day",M993=3,"Rainy Day",M993=4,"Heavy Rain")</f>
        <v>Sunny Day</v>
      </c>
      <c r="O993">
        <v>0.22</v>
      </c>
      <c r="P993">
        <v>0.2727</v>
      </c>
      <c r="Q993">
        <v>0.8</v>
      </c>
      <c r="R993">
        <v>0</v>
      </c>
      <c r="S993">
        <v>10</v>
      </c>
      <c r="T993">
        <v>70</v>
      </c>
      <c r="U993">
        <v>80</v>
      </c>
    </row>
    <row r="994" spans="1:21" x14ac:dyDescent="0.3">
      <c r="A994">
        <v>612</v>
      </c>
      <c r="B994" t="s">
        <v>60</v>
      </c>
      <c r="C994" t="str">
        <f t="shared" si="61"/>
        <v>28-Jan-2011</v>
      </c>
      <c r="D994">
        <v>1</v>
      </c>
      <c r="E994">
        <v>0</v>
      </c>
      <c r="F994">
        <v>1</v>
      </c>
      <c r="G994" t="str">
        <f t="shared" si="60"/>
        <v>Jan</v>
      </c>
      <c r="H994">
        <v>17</v>
      </c>
      <c r="I994">
        <f t="shared" si="62"/>
        <v>1</v>
      </c>
      <c r="J994" t="s">
        <v>126</v>
      </c>
      <c r="K994">
        <v>5</v>
      </c>
      <c r="L994" t="str">
        <f t="shared" si="63"/>
        <v>Weekday</v>
      </c>
      <c r="M994">
        <v>1</v>
      </c>
      <c r="N994" t="str" cm="1">
        <f t="array" ref="N994">_xlfn.IFS(M994=1,"Sunny Day",M994=2,"Cloudy Day",M994=3,"Rainy Day",M994=4,"Heavy Rain")</f>
        <v>Sunny Day</v>
      </c>
      <c r="O994">
        <v>0.24</v>
      </c>
      <c r="P994">
        <v>0.2424</v>
      </c>
      <c r="Q994">
        <v>0.75</v>
      </c>
      <c r="R994">
        <v>0.1343</v>
      </c>
      <c r="S994">
        <v>2</v>
      </c>
      <c r="T994">
        <v>147</v>
      </c>
      <c r="U994">
        <v>149</v>
      </c>
    </row>
    <row r="995" spans="1:21" x14ac:dyDescent="0.3">
      <c r="A995">
        <v>613</v>
      </c>
      <c r="B995" t="s">
        <v>60</v>
      </c>
      <c r="C995" t="str">
        <f t="shared" si="61"/>
        <v>28-Jan-2011</v>
      </c>
      <c r="D995">
        <v>1</v>
      </c>
      <c r="E995">
        <v>0</v>
      </c>
      <c r="F995">
        <v>1</v>
      </c>
      <c r="G995" t="str">
        <f t="shared" si="60"/>
        <v>Jan</v>
      </c>
      <c r="H995">
        <v>18</v>
      </c>
      <c r="I995">
        <f t="shared" si="62"/>
        <v>1</v>
      </c>
      <c r="J995" t="s">
        <v>126</v>
      </c>
      <c r="K995">
        <v>5</v>
      </c>
      <c r="L995" t="str">
        <f t="shared" si="63"/>
        <v>Weekday</v>
      </c>
      <c r="M995">
        <v>1</v>
      </c>
      <c r="N995" t="str" cm="1">
        <f t="array" ref="N995">_xlfn.IFS(M995=1,"Sunny Day",M995=2,"Cloudy Day",M995=3,"Rainy Day",M995=4,"Heavy Rain")</f>
        <v>Sunny Day</v>
      </c>
      <c r="O995">
        <v>0.24</v>
      </c>
      <c r="P995">
        <v>0.2273</v>
      </c>
      <c r="Q995">
        <v>0.75</v>
      </c>
      <c r="R995">
        <v>0.19400000000000001</v>
      </c>
      <c r="S995">
        <v>2</v>
      </c>
      <c r="T995">
        <v>107</v>
      </c>
      <c r="U995">
        <v>109</v>
      </c>
    </row>
    <row r="996" spans="1:21" x14ac:dyDescent="0.3">
      <c r="A996">
        <v>614</v>
      </c>
      <c r="B996" t="s">
        <v>60</v>
      </c>
      <c r="C996" t="str">
        <f t="shared" si="61"/>
        <v>28-Jan-2011</v>
      </c>
      <c r="D996">
        <v>1</v>
      </c>
      <c r="E996">
        <v>0</v>
      </c>
      <c r="F996">
        <v>1</v>
      </c>
      <c r="G996" t="str">
        <f t="shared" si="60"/>
        <v>Jan</v>
      </c>
      <c r="H996">
        <v>19</v>
      </c>
      <c r="I996">
        <f t="shared" si="62"/>
        <v>1</v>
      </c>
      <c r="J996" t="s">
        <v>126</v>
      </c>
      <c r="K996">
        <v>5</v>
      </c>
      <c r="L996" t="str">
        <f t="shared" si="63"/>
        <v>Weekday</v>
      </c>
      <c r="M996">
        <v>2</v>
      </c>
      <c r="N996" t="str" cm="1">
        <f t="array" ref="N996">_xlfn.IFS(M996=1,"Sunny Day",M996=2,"Cloudy Day",M996=3,"Rainy Day",M996=4,"Heavy Rain")</f>
        <v>Cloudy Day</v>
      </c>
      <c r="O996">
        <v>0.24</v>
      </c>
      <c r="P996">
        <v>0.2424</v>
      </c>
      <c r="Q996">
        <v>0.75</v>
      </c>
      <c r="R996">
        <v>0.1343</v>
      </c>
      <c r="S996">
        <v>5</v>
      </c>
      <c r="T996">
        <v>84</v>
      </c>
      <c r="U996">
        <v>89</v>
      </c>
    </row>
    <row r="997" spans="1:21" x14ac:dyDescent="0.3">
      <c r="A997">
        <v>615</v>
      </c>
      <c r="B997" t="s">
        <v>60</v>
      </c>
      <c r="C997" t="str">
        <f t="shared" si="61"/>
        <v>28-Jan-2011</v>
      </c>
      <c r="D997">
        <v>1</v>
      </c>
      <c r="E997">
        <v>0</v>
      </c>
      <c r="F997">
        <v>1</v>
      </c>
      <c r="G997" t="str">
        <f t="shared" si="60"/>
        <v>Jan</v>
      </c>
      <c r="H997">
        <v>20</v>
      </c>
      <c r="I997">
        <f t="shared" si="62"/>
        <v>1</v>
      </c>
      <c r="J997" t="s">
        <v>126</v>
      </c>
      <c r="K997">
        <v>5</v>
      </c>
      <c r="L997" t="str">
        <f t="shared" si="63"/>
        <v>Weekday</v>
      </c>
      <c r="M997">
        <v>2</v>
      </c>
      <c r="N997" t="str" cm="1">
        <f t="array" ref="N997">_xlfn.IFS(M997=1,"Sunny Day",M997=2,"Cloudy Day",M997=3,"Rainy Day",M997=4,"Heavy Rain")</f>
        <v>Cloudy Day</v>
      </c>
      <c r="O997">
        <v>0.24</v>
      </c>
      <c r="P997">
        <v>0.2273</v>
      </c>
      <c r="Q997">
        <v>0.7</v>
      </c>
      <c r="R997">
        <v>0.19400000000000001</v>
      </c>
      <c r="S997">
        <v>1</v>
      </c>
      <c r="T997">
        <v>61</v>
      </c>
      <c r="U997">
        <v>62</v>
      </c>
    </row>
    <row r="998" spans="1:21" x14ac:dyDescent="0.3">
      <c r="A998">
        <v>616</v>
      </c>
      <c r="B998" t="s">
        <v>60</v>
      </c>
      <c r="C998" t="str">
        <f t="shared" si="61"/>
        <v>28-Jan-2011</v>
      </c>
      <c r="D998">
        <v>1</v>
      </c>
      <c r="E998">
        <v>0</v>
      </c>
      <c r="F998">
        <v>1</v>
      </c>
      <c r="G998" t="str">
        <f t="shared" si="60"/>
        <v>Jan</v>
      </c>
      <c r="H998">
        <v>21</v>
      </c>
      <c r="I998">
        <f t="shared" si="62"/>
        <v>1</v>
      </c>
      <c r="J998" t="s">
        <v>126</v>
      </c>
      <c r="K998">
        <v>5</v>
      </c>
      <c r="L998" t="str">
        <f t="shared" si="63"/>
        <v>Weekday</v>
      </c>
      <c r="M998">
        <v>2</v>
      </c>
      <c r="N998" t="str" cm="1">
        <f t="array" ref="N998">_xlfn.IFS(M998=1,"Sunny Day",M998=2,"Cloudy Day",M998=3,"Rainy Day",M998=4,"Heavy Rain")</f>
        <v>Cloudy Day</v>
      </c>
      <c r="O998">
        <v>0.22</v>
      </c>
      <c r="P998">
        <v>0.2273</v>
      </c>
      <c r="Q998">
        <v>0.75</v>
      </c>
      <c r="R998">
        <v>0.1343</v>
      </c>
      <c r="S998">
        <v>1</v>
      </c>
      <c r="T998">
        <v>57</v>
      </c>
      <c r="U998">
        <v>58</v>
      </c>
    </row>
    <row r="999" spans="1:21" x14ac:dyDescent="0.3">
      <c r="A999">
        <v>617</v>
      </c>
      <c r="B999" t="s">
        <v>60</v>
      </c>
      <c r="C999" t="str">
        <f t="shared" si="61"/>
        <v>28-Jan-2011</v>
      </c>
      <c r="D999">
        <v>1</v>
      </c>
      <c r="E999">
        <v>0</v>
      </c>
      <c r="F999">
        <v>1</v>
      </c>
      <c r="G999" t="str">
        <f t="shared" si="60"/>
        <v>Jan</v>
      </c>
      <c r="H999">
        <v>22</v>
      </c>
      <c r="I999">
        <f t="shared" si="62"/>
        <v>1</v>
      </c>
      <c r="J999" t="s">
        <v>126</v>
      </c>
      <c r="K999">
        <v>5</v>
      </c>
      <c r="L999" t="str">
        <f t="shared" si="63"/>
        <v>Weekday</v>
      </c>
      <c r="M999">
        <v>1</v>
      </c>
      <c r="N999" t="str" cm="1">
        <f t="array" ref="N999">_xlfn.IFS(M999=1,"Sunny Day",M999=2,"Cloudy Day",M999=3,"Rainy Day",M999=4,"Heavy Rain")</f>
        <v>Sunny Day</v>
      </c>
      <c r="O999">
        <v>0.24</v>
      </c>
      <c r="P999">
        <v>0.21210000000000001</v>
      </c>
      <c r="Q999">
        <v>0.65</v>
      </c>
      <c r="R999">
        <v>0.35820000000000002</v>
      </c>
      <c r="S999">
        <v>0</v>
      </c>
      <c r="T999">
        <v>26</v>
      </c>
      <c r="U999">
        <v>26</v>
      </c>
    </row>
    <row r="1000" spans="1:21" x14ac:dyDescent="0.3">
      <c r="A1000">
        <v>618</v>
      </c>
      <c r="B1000" t="s">
        <v>60</v>
      </c>
      <c r="C1000" t="str">
        <f t="shared" si="61"/>
        <v>28-Jan-2011</v>
      </c>
      <c r="D1000">
        <v>1</v>
      </c>
      <c r="E1000">
        <v>0</v>
      </c>
      <c r="F1000">
        <v>1</v>
      </c>
      <c r="G1000" t="str">
        <f t="shared" si="60"/>
        <v>Jan</v>
      </c>
      <c r="H1000">
        <v>23</v>
      </c>
      <c r="I1000">
        <f t="shared" si="62"/>
        <v>1</v>
      </c>
      <c r="J1000" t="s">
        <v>126</v>
      </c>
      <c r="K1000">
        <v>5</v>
      </c>
      <c r="L1000" t="str">
        <f t="shared" si="63"/>
        <v>Weekday</v>
      </c>
      <c r="M1000">
        <v>1</v>
      </c>
      <c r="N1000" t="str" cm="1">
        <f t="array" ref="N1000">_xlfn.IFS(M1000=1,"Sunny Day",M1000=2,"Cloudy Day",M1000=3,"Rainy Day",M1000=4,"Heavy Rain")</f>
        <v>Sunny Day</v>
      </c>
      <c r="O1000">
        <v>0.24</v>
      </c>
      <c r="P1000">
        <v>0.2273</v>
      </c>
      <c r="Q1000">
        <v>0.6</v>
      </c>
      <c r="R1000">
        <v>0.22389999999999999</v>
      </c>
      <c r="S1000">
        <v>1</v>
      </c>
      <c r="T1000">
        <v>22</v>
      </c>
      <c r="U1000">
        <v>23</v>
      </c>
    </row>
    <row r="1001" spans="1:21" x14ac:dyDescent="0.3">
      <c r="A1001">
        <v>619</v>
      </c>
      <c r="B1001" t="s">
        <v>62</v>
      </c>
      <c r="C1001" t="str">
        <f t="shared" si="61"/>
        <v>29-Jan-2011</v>
      </c>
      <c r="D1001">
        <v>1</v>
      </c>
      <c r="E1001">
        <v>0</v>
      </c>
      <c r="F1001">
        <v>1</v>
      </c>
      <c r="G1001" t="str">
        <f t="shared" si="60"/>
        <v>Jan</v>
      </c>
      <c r="H1001">
        <v>0</v>
      </c>
      <c r="I1001">
        <f t="shared" si="62"/>
        <v>0</v>
      </c>
      <c r="J1001" t="s">
        <v>125</v>
      </c>
      <c r="K1001">
        <v>6</v>
      </c>
      <c r="L1001" t="str">
        <f t="shared" si="63"/>
        <v>Weekend</v>
      </c>
      <c r="M1001">
        <v>1</v>
      </c>
      <c r="N1001" t="str" cm="1">
        <f t="array" ref="N1001">_xlfn.IFS(M1001=1,"Sunny Day",M1001=2,"Cloudy Day",M1001=3,"Rainy Day",M1001=4,"Heavy Rain")</f>
        <v>Sunny Day</v>
      </c>
      <c r="O1001">
        <v>0.22</v>
      </c>
      <c r="P1001">
        <v>0.19700000000000001</v>
      </c>
      <c r="Q1001">
        <v>0.64</v>
      </c>
      <c r="R1001">
        <v>0.35820000000000002</v>
      </c>
      <c r="S1001">
        <v>2</v>
      </c>
      <c r="T1001">
        <v>26</v>
      </c>
      <c r="U1001">
        <v>28</v>
      </c>
    </row>
  </sheetData>
  <autoFilter ref="A1:U1001" xr:uid="{20ECF6D5-2077-43FA-94E5-398E6C40324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A776-2073-4483-82C9-1F6F7A4CE4C0}">
  <dimension ref="A1:Z97"/>
  <sheetViews>
    <sheetView workbookViewId="0">
      <selection activeCell="U10" sqref="U10"/>
    </sheetView>
  </sheetViews>
  <sheetFormatPr defaultRowHeight="14.4" x14ac:dyDescent="0.3"/>
  <cols>
    <col min="2" max="2" width="11" customWidth="1"/>
    <col min="3" max="18" width="0" hidden="1" customWidth="1"/>
    <col min="19" max="19" width="0.33203125" hidden="1" customWidth="1"/>
  </cols>
  <sheetData>
    <row r="1" spans="1:26" x14ac:dyDescent="0.3">
      <c r="A1" t="s">
        <v>97</v>
      </c>
      <c r="B1" t="s">
        <v>99</v>
      </c>
      <c r="C1" t="s">
        <v>100</v>
      </c>
      <c r="D1" t="s">
        <v>101</v>
      </c>
      <c r="E1" t="s">
        <v>102</v>
      </c>
      <c r="F1" t="s">
        <v>103</v>
      </c>
      <c r="G1" t="s">
        <v>104</v>
      </c>
      <c r="H1" t="s">
        <v>105</v>
      </c>
      <c r="I1" t="s">
        <v>129</v>
      </c>
      <c r="J1" t="s">
        <v>107</v>
      </c>
      <c r="K1" t="s">
        <v>128</v>
      </c>
      <c r="L1" t="s">
        <v>109</v>
      </c>
      <c r="M1" t="s">
        <v>110</v>
      </c>
      <c r="N1" t="s">
        <v>111</v>
      </c>
      <c r="O1" t="s">
        <v>112</v>
      </c>
      <c r="P1" t="s">
        <v>113</v>
      </c>
      <c r="Q1" t="s">
        <v>114</v>
      </c>
      <c r="R1" t="s">
        <v>115</v>
      </c>
      <c r="S1" t="s">
        <v>116</v>
      </c>
      <c r="T1" t="s">
        <v>123</v>
      </c>
      <c r="U1" t="s">
        <v>141</v>
      </c>
      <c r="V1" t="s">
        <v>142</v>
      </c>
      <c r="W1" t="s">
        <v>147</v>
      </c>
      <c r="X1" t="s">
        <v>144</v>
      </c>
      <c r="Y1" t="s">
        <v>145</v>
      </c>
      <c r="Z1" t="s">
        <v>146</v>
      </c>
    </row>
    <row r="2" spans="1:26" x14ac:dyDescent="0.3">
      <c r="A2">
        <v>1</v>
      </c>
      <c r="B2" t="s">
        <v>1</v>
      </c>
      <c r="C2">
        <v>1</v>
      </c>
      <c r="D2">
        <v>0</v>
      </c>
      <c r="E2">
        <v>1</v>
      </c>
      <c r="F2" t="s">
        <v>2</v>
      </c>
      <c r="G2">
        <v>0</v>
      </c>
      <c r="H2">
        <v>0</v>
      </c>
      <c r="I2" t="s">
        <v>125</v>
      </c>
      <c r="J2">
        <v>6</v>
      </c>
      <c r="K2" t="s">
        <v>108</v>
      </c>
      <c r="L2">
        <v>1</v>
      </c>
      <c r="M2" t="s">
        <v>3</v>
      </c>
      <c r="N2">
        <v>0.24</v>
      </c>
      <c r="O2">
        <v>0.28789999999999999</v>
      </c>
      <c r="P2">
        <v>0.81</v>
      </c>
      <c r="Q2">
        <v>0</v>
      </c>
      <c r="R2">
        <v>3</v>
      </c>
      <c r="S2">
        <v>13</v>
      </c>
      <c r="T2">
        <v>16</v>
      </c>
      <c r="U2" t="b">
        <f>OR(T2&gt;$Y$2,T2&lt;$Z$2)</f>
        <v>0</v>
      </c>
      <c r="V2">
        <f>QUARTILE(T2:T97,1)</f>
        <v>7</v>
      </c>
      <c r="W2">
        <f>QUARTILE(T2:T97,3)</f>
        <v>39</v>
      </c>
      <c r="X2">
        <f>W2-V2</f>
        <v>32</v>
      </c>
      <c r="Y2">
        <f>W2+(1.5*X2)</f>
        <v>87</v>
      </c>
      <c r="Z2">
        <f>V2-(1.5*X2)</f>
        <v>-41</v>
      </c>
    </row>
    <row r="3" spans="1:26" x14ac:dyDescent="0.3">
      <c r="A3">
        <v>2</v>
      </c>
      <c r="B3" t="s">
        <v>1</v>
      </c>
      <c r="C3">
        <v>1</v>
      </c>
      <c r="D3">
        <v>0</v>
      </c>
      <c r="E3">
        <v>1</v>
      </c>
      <c r="F3" t="s">
        <v>2</v>
      </c>
      <c r="G3">
        <v>5</v>
      </c>
      <c r="H3">
        <v>0</v>
      </c>
      <c r="I3" t="s">
        <v>125</v>
      </c>
      <c r="J3">
        <v>6</v>
      </c>
      <c r="K3" t="s">
        <v>108</v>
      </c>
      <c r="L3">
        <v>2</v>
      </c>
      <c r="M3" t="s">
        <v>4</v>
      </c>
      <c r="N3">
        <v>0.24</v>
      </c>
      <c r="O3">
        <v>0.2576</v>
      </c>
      <c r="P3">
        <v>0.75</v>
      </c>
      <c r="Q3">
        <v>8.9599999999999999E-2</v>
      </c>
      <c r="R3">
        <v>0</v>
      </c>
      <c r="S3">
        <v>1</v>
      </c>
      <c r="T3">
        <v>1</v>
      </c>
      <c r="U3" t="b">
        <f t="shared" ref="U3:U66" si="0">OR(T3&gt;$Y$2,T3&lt;$Z$2)</f>
        <v>0</v>
      </c>
    </row>
    <row r="4" spans="1:26" x14ac:dyDescent="0.3">
      <c r="A4">
        <v>3</v>
      </c>
      <c r="B4" t="s">
        <v>1</v>
      </c>
      <c r="C4">
        <v>1</v>
      </c>
      <c r="D4">
        <v>0</v>
      </c>
      <c r="E4">
        <v>1</v>
      </c>
      <c r="F4" t="s">
        <v>2</v>
      </c>
      <c r="G4">
        <v>18</v>
      </c>
      <c r="H4">
        <v>1</v>
      </c>
      <c r="I4" t="s">
        <v>125</v>
      </c>
      <c r="J4">
        <v>6</v>
      </c>
      <c r="K4" t="s">
        <v>108</v>
      </c>
      <c r="L4">
        <v>3</v>
      </c>
      <c r="M4" t="s">
        <v>6</v>
      </c>
      <c r="N4">
        <v>0.42</v>
      </c>
      <c r="O4">
        <v>0.42420000000000002</v>
      </c>
      <c r="P4">
        <v>0.88</v>
      </c>
      <c r="Q4">
        <v>0.25369999999999998</v>
      </c>
      <c r="R4">
        <v>9</v>
      </c>
      <c r="S4">
        <v>26</v>
      </c>
      <c r="T4">
        <v>35</v>
      </c>
      <c r="U4" t="b">
        <f t="shared" si="0"/>
        <v>0</v>
      </c>
    </row>
    <row r="5" spans="1:26" x14ac:dyDescent="0.3">
      <c r="A5">
        <v>4</v>
      </c>
      <c r="B5" t="s">
        <v>8</v>
      </c>
      <c r="C5">
        <v>1</v>
      </c>
      <c r="D5">
        <v>0</v>
      </c>
      <c r="E5">
        <v>1</v>
      </c>
      <c r="F5" t="s">
        <v>2</v>
      </c>
      <c r="G5">
        <v>0</v>
      </c>
      <c r="H5">
        <v>0</v>
      </c>
      <c r="I5" t="s">
        <v>125</v>
      </c>
      <c r="J5">
        <v>0</v>
      </c>
      <c r="K5" t="s">
        <v>108</v>
      </c>
      <c r="L5">
        <v>2</v>
      </c>
      <c r="M5" t="s">
        <v>4</v>
      </c>
      <c r="N5">
        <v>0.46</v>
      </c>
      <c r="O5">
        <v>0.45450000000000002</v>
      </c>
      <c r="P5">
        <v>0.88</v>
      </c>
      <c r="Q5">
        <v>0.29849999999999999</v>
      </c>
      <c r="R5">
        <v>4</v>
      </c>
      <c r="S5">
        <v>13</v>
      </c>
      <c r="T5">
        <v>17</v>
      </c>
      <c r="U5" t="b">
        <f t="shared" si="0"/>
        <v>0</v>
      </c>
    </row>
    <row r="6" spans="1:26" x14ac:dyDescent="0.3">
      <c r="A6">
        <v>5</v>
      </c>
      <c r="B6" t="s">
        <v>8</v>
      </c>
      <c r="C6">
        <v>1</v>
      </c>
      <c r="D6">
        <v>0</v>
      </c>
      <c r="E6">
        <v>1</v>
      </c>
      <c r="F6" t="s">
        <v>2</v>
      </c>
      <c r="G6">
        <v>6</v>
      </c>
      <c r="H6">
        <v>0</v>
      </c>
      <c r="I6" t="s">
        <v>125</v>
      </c>
      <c r="J6">
        <v>0</v>
      </c>
      <c r="K6" t="s">
        <v>108</v>
      </c>
      <c r="L6">
        <v>3</v>
      </c>
      <c r="M6" t="s">
        <v>6</v>
      </c>
      <c r="N6">
        <v>0.42</v>
      </c>
      <c r="O6">
        <v>0.42420000000000002</v>
      </c>
      <c r="P6">
        <v>0.77</v>
      </c>
      <c r="Q6">
        <v>0.29849999999999999</v>
      </c>
      <c r="R6">
        <v>0</v>
      </c>
      <c r="S6">
        <v>2</v>
      </c>
      <c r="T6">
        <v>2</v>
      </c>
      <c r="U6" t="b">
        <f t="shared" si="0"/>
        <v>0</v>
      </c>
    </row>
    <row r="7" spans="1:26" x14ac:dyDescent="0.3">
      <c r="A7">
        <v>6</v>
      </c>
      <c r="B7" t="s">
        <v>8</v>
      </c>
      <c r="C7">
        <v>1</v>
      </c>
      <c r="D7">
        <v>0</v>
      </c>
      <c r="E7">
        <v>1</v>
      </c>
      <c r="F7" t="s">
        <v>2</v>
      </c>
      <c r="G7">
        <v>17</v>
      </c>
      <c r="H7">
        <v>1</v>
      </c>
      <c r="I7" t="s">
        <v>125</v>
      </c>
      <c r="J7">
        <v>0</v>
      </c>
      <c r="K7" t="s">
        <v>108</v>
      </c>
      <c r="L7">
        <v>1</v>
      </c>
      <c r="M7" t="s">
        <v>3</v>
      </c>
      <c r="N7">
        <v>0.34</v>
      </c>
      <c r="O7">
        <v>0.33329999999999999</v>
      </c>
      <c r="P7">
        <v>0.56999999999999995</v>
      </c>
      <c r="Q7">
        <v>0.19400000000000001</v>
      </c>
      <c r="R7">
        <v>7</v>
      </c>
      <c r="S7">
        <v>58</v>
      </c>
      <c r="T7">
        <v>65</v>
      </c>
      <c r="U7" t="b">
        <f t="shared" si="0"/>
        <v>0</v>
      </c>
    </row>
    <row r="8" spans="1:26" x14ac:dyDescent="0.3">
      <c r="A8">
        <v>7</v>
      </c>
      <c r="B8" t="s">
        <v>10</v>
      </c>
      <c r="C8">
        <v>1</v>
      </c>
      <c r="D8">
        <v>0</v>
      </c>
      <c r="E8">
        <v>1</v>
      </c>
      <c r="F8" t="s">
        <v>2</v>
      </c>
      <c r="G8">
        <v>0</v>
      </c>
      <c r="H8">
        <v>0</v>
      </c>
      <c r="I8" t="s">
        <v>126</v>
      </c>
      <c r="J8">
        <v>1</v>
      </c>
      <c r="K8" t="s">
        <v>124</v>
      </c>
      <c r="L8">
        <v>1</v>
      </c>
      <c r="M8" t="s">
        <v>3</v>
      </c>
      <c r="N8">
        <v>0.22</v>
      </c>
      <c r="O8">
        <v>0.19700000000000001</v>
      </c>
      <c r="P8">
        <v>0.44</v>
      </c>
      <c r="Q8">
        <v>0.35820000000000002</v>
      </c>
      <c r="R8">
        <v>0</v>
      </c>
      <c r="S8">
        <v>5</v>
      </c>
      <c r="T8">
        <v>5</v>
      </c>
      <c r="U8" t="b">
        <f t="shared" si="0"/>
        <v>0</v>
      </c>
    </row>
    <row r="9" spans="1:26" x14ac:dyDescent="0.3">
      <c r="A9">
        <v>8</v>
      </c>
      <c r="B9" t="s">
        <v>12</v>
      </c>
      <c r="C9">
        <v>1</v>
      </c>
      <c r="D9">
        <v>0</v>
      </c>
      <c r="E9">
        <v>1</v>
      </c>
      <c r="F9" t="s">
        <v>2</v>
      </c>
      <c r="G9">
        <v>0</v>
      </c>
      <c r="H9">
        <v>0</v>
      </c>
      <c r="I9" t="s">
        <v>125</v>
      </c>
      <c r="J9">
        <v>2</v>
      </c>
      <c r="K9" t="s">
        <v>124</v>
      </c>
      <c r="L9">
        <v>1</v>
      </c>
      <c r="M9" t="s">
        <v>3</v>
      </c>
      <c r="N9">
        <v>0.16</v>
      </c>
      <c r="O9" t="s">
        <v>5</v>
      </c>
      <c r="P9">
        <v>0.55000000000000004</v>
      </c>
      <c r="Q9">
        <v>0.1045</v>
      </c>
      <c r="R9">
        <v>0</v>
      </c>
      <c r="S9">
        <v>5</v>
      </c>
      <c r="T9">
        <v>5</v>
      </c>
      <c r="U9" t="b">
        <f t="shared" si="0"/>
        <v>0</v>
      </c>
    </row>
    <row r="10" spans="1:26" x14ac:dyDescent="0.3">
      <c r="A10">
        <v>9</v>
      </c>
      <c r="B10" t="s">
        <v>12</v>
      </c>
      <c r="C10">
        <v>1</v>
      </c>
      <c r="D10">
        <v>0</v>
      </c>
      <c r="E10">
        <v>1</v>
      </c>
      <c r="F10" t="s">
        <v>2</v>
      </c>
      <c r="G10">
        <v>10</v>
      </c>
      <c r="H10">
        <v>0</v>
      </c>
      <c r="I10" t="s">
        <v>126</v>
      </c>
      <c r="J10">
        <v>2</v>
      </c>
      <c r="K10" t="s">
        <v>124</v>
      </c>
      <c r="L10">
        <v>2</v>
      </c>
      <c r="M10" t="s">
        <v>4</v>
      </c>
      <c r="N10">
        <v>0.16</v>
      </c>
      <c r="O10">
        <v>0.13639999999999999</v>
      </c>
      <c r="P10">
        <v>0.69</v>
      </c>
      <c r="Q10">
        <v>0.32840000000000003</v>
      </c>
      <c r="R10">
        <v>5</v>
      </c>
      <c r="S10">
        <v>37</v>
      </c>
      <c r="T10">
        <v>42</v>
      </c>
      <c r="U10" t="b">
        <f t="shared" si="0"/>
        <v>0</v>
      </c>
    </row>
    <row r="11" spans="1:26" x14ac:dyDescent="0.3">
      <c r="A11">
        <v>10</v>
      </c>
      <c r="B11" t="s">
        <v>14</v>
      </c>
      <c r="C11">
        <v>1</v>
      </c>
      <c r="D11">
        <v>0</v>
      </c>
      <c r="E11">
        <v>1</v>
      </c>
      <c r="F11" t="s">
        <v>2</v>
      </c>
      <c r="G11">
        <v>0</v>
      </c>
      <c r="H11">
        <v>0</v>
      </c>
      <c r="I11" t="s">
        <v>126</v>
      </c>
      <c r="J11">
        <v>3</v>
      </c>
      <c r="K11" t="s">
        <v>124</v>
      </c>
      <c r="L11">
        <v>1</v>
      </c>
      <c r="M11" t="s">
        <v>3</v>
      </c>
      <c r="N11">
        <v>0.2</v>
      </c>
      <c r="O11">
        <v>0.2576</v>
      </c>
      <c r="P11">
        <v>0.64</v>
      </c>
      <c r="Q11">
        <v>0</v>
      </c>
      <c r="R11">
        <v>0</v>
      </c>
      <c r="S11">
        <v>6</v>
      </c>
      <c r="T11">
        <v>6</v>
      </c>
      <c r="U11" t="b">
        <f t="shared" si="0"/>
        <v>0</v>
      </c>
    </row>
    <row r="12" spans="1:26" x14ac:dyDescent="0.3">
      <c r="A12">
        <v>11</v>
      </c>
      <c r="B12" t="s">
        <v>16</v>
      </c>
      <c r="C12">
        <v>1</v>
      </c>
      <c r="D12">
        <v>0</v>
      </c>
      <c r="E12">
        <v>1</v>
      </c>
      <c r="F12" t="s">
        <v>2</v>
      </c>
      <c r="G12">
        <v>0</v>
      </c>
      <c r="H12">
        <v>0</v>
      </c>
      <c r="I12" t="s">
        <v>126</v>
      </c>
      <c r="J12">
        <v>4</v>
      </c>
      <c r="K12" t="s">
        <v>124</v>
      </c>
      <c r="L12">
        <v>1</v>
      </c>
      <c r="M12" t="s">
        <v>3</v>
      </c>
      <c r="N12">
        <v>0.18</v>
      </c>
      <c r="O12">
        <v>0.2424</v>
      </c>
      <c r="P12">
        <v>0.55000000000000004</v>
      </c>
      <c r="Q12">
        <v>0</v>
      </c>
      <c r="R12">
        <v>0</v>
      </c>
      <c r="S12">
        <v>11</v>
      </c>
      <c r="T12">
        <v>11</v>
      </c>
      <c r="U12" t="b">
        <f t="shared" si="0"/>
        <v>0</v>
      </c>
    </row>
    <row r="13" spans="1:26" x14ac:dyDescent="0.3">
      <c r="A13">
        <v>12</v>
      </c>
      <c r="B13" t="s">
        <v>16</v>
      </c>
      <c r="C13">
        <v>1</v>
      </c>
      <c r="D13">
        <v>0</v>
      </c>
      <c r="E13">
        <v>1</v>
      </c>
      <c r="F13" t="s">
        <v>2</v>
      </c>
      <c r="G13">
        <v>4</v>
      </c>
      <c r="H13">
        <v>0</v>
      </c>
      <c r="I13" t="s">
        <v>126</v>
      </c>
      <c r="J13">
        <v>4</v>
      </c>
      <c r="K13" t="s">
        <v>124</v>
      </c>
      <c r="L13">
        <v>2</v>
      </c>
      <c r="M13" t="s">
        <v>4</v>
      </c>
      <c r="N13">
        <v>0.16</v>
      </c>
      <c r="O13">
        <v>0.19700000000000001</v>
      </c>
      <c r="P13">
        <v>0.64</v>
      </c>
      <c r="Q13">
        <v>8.9599999999999999E-2</v>
      </c>
      <c r="R13">
        <v>0</v>
      </c>
      <c r="S13">
        <v>1</v>
      </c>
      <c r="T13">
        <v>1</v>
      </c>
      <c r="U13" t="b">
        <f t="shared" si="0"/>
        <v>0</v>
      </c>
    </row>
    <row r="14" spans="1:26" x14ac:dyDescent="0.3">
      <c r="A14">
        <v>13</v>
      </c>
      <c r="B14" t="s">
        <v>18</v>
      </c>
      <c r="C14">
        <v>1</v>
      </c>
      <c r="D14">
        <v>0</v>
      </c>
      <c r="E14">
        <v>1</v>
      </c>
      <c r="F14" t="s">
        <v>2</v>
      </c>
      <c r="G14">
        <v>0</v>
      </c>
      <c r="H14">
        <v>0</v>
      </c>
      <c r="I14" t="s">
        <v>125</v>
      </c>
      <c r="J14">
        <v>5</v>
      </c>
      <c r="K14" t="s">
        <v>124</v>
      </c>
      <c r="L14">
        <v>2</v>
      </c>
      <c r="M14" t="s">
        <v>4</v>
      </c>
      <c r="N14">
        <v>0.2</v>
      </c>
      <c r="O14">
        <v>0.19700000000000001</v>
      </c>
      <c r="P14">
        <v>0.64</v>
      </c>
      <c r="Q14">
        <v>0.19400000000000001</v>
      </c>
      <c r="R14">
        <v>4</v>
      </c>
      <c r="S14">
        <v>13</v>
      </c>
      <c r="T14">
        <v>17</v>
      </c>
      <c r="U14" t="b">
        <f t="shared" si="0"/>
        <v>0</v>
      </c>
    </row>
    <row r="15" spans="1:26" x14ac:dyDescent="0.3">
      <c r="A15">
        <v>14</v>
      </c>
      <c r="B15" t="s">
        <v>18</v>
      </c>
      <c r="C15">
        <v>1</v>
      </c>
      <c r="D15">
        <v>0</v>
      </c>
      <c r="E15">
        <v>1</v>
      </c>
      <c r="F15" t="s">
        <v>2</v>
      </c>
      <c r="G15">
        <v>5</v>
      </c>
      <c r="H15">
        <v>0</v>
      </c>
      <c r="I15" t="s">
        <v>125</v>
      </c>
      <c r="J15">
        <v>5</v>
      </c>
      <c r="K15" t="s">
        <v>124</v>
      </c>
      <c r="L15">
        <v>3</v>
      </c>
      <c r="M15" t="s">
        <v>6</v>
      </c>
      <c r="N15">
        <v>0.22</v>
      </c>
      <c r="O15">
        <v>0.2727</v>
      </c>
      <c r="P15">
        <v>0.55000000000000004</v>
      </c>
      <c r="Q15">
        <v>0</v>
      </c>
      <c r="R15">
        <v>0</v>
      </c>
      <c r="S15">
        <v>5</v>
      </c>
      <c r="T15">
        <v>5</v>
      </c>
      <c r="U15" t="b">
        <f t="shared" si="0"/>
        <v>0</v>
      </c>
    </row>
    <row r="16" spans="1:26" x14ac:dyDescent="0.3">
      <c r="A16">
        <v>15</v>
      </c>
      <c r="B16" t="s">
        <v>18</v>
      </c>
      <c r="C16">
        <v>1</v>
      </c>
      <c r="D16">
        <v>0</v>
      </c>
      <c r="E16">
        <v>1</v>
      </c>
      <c r="F16" t="s">
        <v>2</v>
      </c>
      <c r="G16">
        <v>7</v>
      </c>
      <c r="H16">
        <v>0</v>
      </c>
      <c r="I16" t="s">
        <v>125</v>
      </c>
      <c r="J16">
        <v>5</v>
      </c>
      <c r="K16" t="s">
        <v>124</v>
      </c>
      <c r="L16">
        <v>1</v>
      </c>
      <c r="M16" t="s">
        <v>3</v>
      </c>
      <c r="N16">
        <v>0.2</v>
      </c>
      <c r="O16">
        <v>0.21210000000000001</v>
      </c>
      <c r="P16">
        <v>0.69</v>
      </c>
      <c r="Q16">
        <v>0.1343</v>
      </c>
      <c r="R16">
        <v>8</v>
      </c>
      <c r="S16">
        <v>76</v>
      </c>
      <c r="T16">
        <v>84</v>
      </c>
      <c r="U16" t="b">
        <f t="shared" si="0"/>
        <v>0</v>
      </c>
    </row>
    <row r="17" spans="1:21" x14ac:dyDescent="0.3">
      <c r="A17">
        <v>16</v>
      </c>
      <c r="B17" t="s">
        <v>20</v>
      </c>
      <c r="C17">
        <v>1</v>
      </c>
      <c r="D17">
        <v>0</v>
      </c>
      <c r="E17">
        <v>1</v>
      </c>
      <c r="F17" t="s">
        <v>2</v>
      </c>
      <c r="G17">
        <v>0</v>
      </c>
      <c r="H17">
        <v>0</v>
      </c>
      <c r="I17" t="s">
        <v>125</v>
      </c>
      <c r="J17">
        <v>6</v>
      </c>
      <c r="K17" t="s">
        <v>108</v>
      </c>
      <c r="L17">
        <v>2</v>
      </c>
      <c r="M17" t="s">
        <v>4</v>
      </c>
      <c r="N17">
        <v>0.18</v>
      </c>
      <c r="O17">
        <v>0.19700000000000001</v>
      </c>
      <c r="P17">
        <v>0.51</v>
      </c>
      <c r="Q17">
        <v>0.16420000000000001</v>
      </c>
      <c r="R17">
        <v>1</v>
      </c>
      <c r="S17">
        <v>24</v>
      </c>
      <c r="T17">
        <v>25</v>
      </c>
      <c r="U17" t="b">
        <f t="shared" si="0"/>
        <v>0</v>
      </c>
    </row>
    <row r="18" spans="1:21" x14ac:dyDescent="0.3">
      <c r="A18">
        <v>17</v>
      </c>
      <c r="B18" t="s">
        <v>20</v>
      </c>
      <c r="C18">
        <v>1</v>
      </c>
      <c r="D18">
        <v>0</v>
      </c>
      <c r="E18">
        <v>1</v>
      </c>
      <c r="F18" t="s">
        <v>2</v>
      </c>
      <c r="G18">
        <v>3</v>
      </c>
      <c r="H18">
        <v>0</v>
      </c>
      <c r="I18" t="s">
        <v>125</v>
      </c>
      <c r="J18">
        <v>6</v>
      </c>
      <c r="K18" t="s">
        <v>108</v>
      </c>
      <c r="L18">
        <v>3</v>
      </c>
      <c r="M18" t="s">
        <v>6</v>
      </c>
      <c r="N18">
        <v>0.18</v>
      </c>
      <c r="O18">
        <v>0.19700000000000001</v>
      </c>
      <c r="P18">
        <v>0.55000000000000004</v>
      </c>
      <c r="Q18">
        <v>0.16420000000000001</v>
      </c>
      <c r="R18">
        <v>0</v>
      </c>
      <c r="S18">
        <v>7</v>
      </c>
      <c r="T18">
        <v>7</v>
      </c>
      <c r="U18" t="b">
        <f t="shared" si="0"/>
        <v>0</v>
      </c>
    </row>
    <row r="19" spans="1:21" x14ac:dyDescent="0.3">
      <c r="A19">
        <v>18</v>
      </c>
      <c r="B19" t="s">
        <v>20</v>
      </c>
      <c r="C19">
        <v>1</v>
      </c>
      <c r="D19">
        <v>0</v>
      </c>
      <c r="E19">
        <v>1</v>
      </c>
      <c r="F19" t="s">
        <v>2</v>
      </c>
      <c r="G19">
        <v>13</v>
      </c>
      <c r="H19">
        <v>1</v>
      </c>
      <c r="I19" t="s">
        <v>125</v>
      </c>
      <c r="J19">
        <v>6</v>
      </c>
      <c r="K19" t="s">
        <v>108</v>
      </c>
      <c r="L19">
        <v>1</v>
      </c>
      <c r="M19" t="s">
        <v>3</v>
      </c>
      <c r="N19">
        <v>0.2</v>
      </c>
      <c r="O19">
        <v>0.18179999999999999</v>
      </c>
      <c r="P19">
        <v>0.44</v>
      </c>
      <c r="Q19">
        <v>0.32840000000000003</v>
      </c>
      <c r="R19">
        <v>7</v>
      </c>
      <c r="S19">
        <v>95</v>
      </c>
      <c r="T19" s="16">
        <v>102</v>
      </c>
      <c r="U19" s="16" t="b">
        <f t="shared" si="0"/>
        <v>1</v>
      </c>
    </row>
    <row r="20" spans="1:21" x14ac:dyDescent="0.3">
      <c r="A20">
        <v>19</v>
      </c>
      <c r="B20" t="s">
        <v>22</v>
      </c>
      <c r="C20">
        <v>1</v>
      </c>
      <c r="D20">
        <v>0</v>
      </c>
      <c r="E20">
        <v>1</v>
      </c>
      <c r="F20" t="s">
        <v>2</v>
      </c>
      <c r="G20">
        <v>0</v>
      </c>
      <c r="H20">
        <v>0</v>
      </c>
      <c r="I20" t="s">
        <v>125</v>
      </c>
      <c r="J20">
        <v>0</v>
      </c>
      <c r="K20" t="s">
        <v>108</v>
      </c>
      <c r="L20">
        <v>1</v>
      </c>
      <c r="M20" t="s">
        <v>3</v>
      </c>
      <c r="N20">
        <v>0.1</v>
      </c>
      <c r="O20">
        <v>7.5800000000000006E-2</v>
      </c>
      <c r="P20">
        <v>0.42</v>
      </c>
      <c r="Q20">
        <v>0.3881</v>
      </c>
      <c r="R20">
        <v>1</v>
      </c>
      <c r="S20">
        <v>24</v>
      </c>
      <c r="T20">
        <v>25</v>
      </c>
      <c r="U20" t="b">
        <f t="shared" si="0"/>
        <v>0</v>
      </c>
    </row>
    <row r="21" spans="1:21" x14ac:dyDescent="0.3">
      <c r="A21">
        <v>20</v>
      </c>
      <c r="B21" t="s">
        <v>24</v>
      </c>
      <c r="C21">
        <v>1</v>
      </c>
      <c r="D21">
        <v>0</v>
      </c>
      <c r="E21">
        <v>1</v>
      </c>
      <c r="F21" t="s">
        <v>2</v>
      </c>
      <c r="G21">
        <v>0</v>
      </c>
      <c r="H21">
        <v>0</v>
      </c>
      <c r="I21" t="s">
        <v>126</v>
      </c>
      <c r="J21">
        <v>1</v>
      </c>
      <c r="K21" t="s">
        <v>124</v>
      </c>
      <c r="L21">
        <v>1</v>
      </c>
      <c r="M21" t="s">
        <v>3</v>
      </c>
      <c r="N21">
        <v>0.12</v>
      </c>
      <c r="O21">
        <v>0.1212</v>
      </c>
      <c r="P21">
        <v>0.5</v>
      </c>
      <c r="Q21">
        <v>0.28360000000000002</v>
      </c>
      <c r="R21">
        <v>2</v>
      </c>
      <c r="S21">
        <v>3</v>
      </c>
      <c r="T21">
        <v>5</v>
      </c>
      <c r="U21" t="b">
        <f t="shared" si="0"/>
        <v>0</v>
      </c>
    </row>
    <row r="22" spans="1:21" x14ac:dyDescent="0.3">
      <c r="A22">
        <v>21</v>
      </c>
      <c r="B22" t="s">
        <v>24</v>
      </c>
      <c r="C22">
        <v>1</v>
      </c>
      <c r="D22">
        <v>0</v>
      </c>
      <c r="E22">
        <v>1</v>
      </c>
      <c r="F22" t="s">
        <v>2</v>
      </c>
      <c r="G22">
        <v>8</v>
      </c>
      <c r="H22">
        <v>0</v>
      </c>
      <c r="I22" t="s">
        <v>126</v>
      </c>
      <c r="J22">
        <v>1</v>
      </c>
      <c r="K22" t="s">
        <v>124</v>
      </c>
      <c r="L22">
        <v>2</v>
      </c>
      <c r="M22" t="s">
        <v>4</v>
      </c>
      <c r="N22">
        <v>0.12</v>
      </c>
      <c r="O22">
        <v>0.1212</v>
      </c>
      <c r="P22">
        <v>0.5</v>
      </c>
      <c r="Q22">
        <v>0.28360000000000002</v>
      </c>
      <c r="R22">
        <v>4</v>
      </c>
      <c r="S22">
        <v>184</v>
      </c>
      <c r="T22" s="16">
        <v>188</v>
      </c>
      <c r="U22" s="16" t="b">
        <f t="shared" si="0"/>
        <v>1</v>
      </c>
    </row>
    <row r="23" spans="1:21" x14ac:dyDescent="0.3">
      <c r="A23">
        <v>22</v>
      </c>
      <c r="B23" t="s">
        <v>26</v>
      </c>
      <c r="C23">
        <v>1</v>
      </c>
      <c r="D23">
        <v>0</v>
      </c>
      <c r="E23">
        <v>1</v>
      </c>
      <c r="F23" t="s">
        <v>2</v>
      </c>
      <c r="G23">
        <v>0</v>
      </c>
      <c r="H23">
        <v>0</v>
      </c>
      <c r="I23" t="s">
        <v>126</v>
      </c>
      <c r="J23">
        <v>2</v>
      </c>
      <c r="K23" t="s">
        <v>124</v>
      </c>
      <c r="L23">
        <v>1</v>
      </c>
      <c r="M23" t="s">
        <v>3</v>
      </c>
      <c r="N23">
        <v>0.14000000000000001</v>
      </c>
      <c r="O23">
        <v>0.16669999999999999</v>
      </c>
      <c r="P23">
        <v>0.59</v>
      </c>
      <c r="Q23">
        <v>0.1045</v>
      </c>
      <c r="R23">
        <v>2</v>
      </c>
      <c r="S23">
        <v>10</v>
      </c>
      <c r="T23">
        <v>12</v>
      </c>
      <c r="U23" t="b">
        <f t="shared" si="0"/>
        <v>0</v>
      </c>
    </row>
    <row r="24" spans="1:21" x14ac:dyDescent="0.3">
      <c r="A24">
        <v>23</v>
      </c>
      <c r="B24" t="s">
        <v>26</v>
      </c>
      <c r="C24">
        <v>1</v>
      </c>
      <c r="D24">
        <v>0</v>
      </c>
      <c r="E24">
        <v>1</v>
      </c>
      <c r="F24" t="s">
        <v>2</v>
      </c>
      <c r="G24">
        <v>2</v>
      </c>
      <c r="H24">
        <v>0</v>
      </c>
      <c r="I24" t="s">
        <v>126</v>
      </c>
      <c r="J24">
        <v>2</v>
      </c>
      <c r="K24" t="s">
        <v>124</v>
      </c>
      <c r="L24">
        <v>2</v>
      </c>
      <c r="M24" t="s">
        <v>4</v>
      </c>
      <c r="N24">
        <v>0.16</v>
      </c>
      <c r="O24">
        <v>0.1515</v>
      </c>
      <c r="P24">
        <v>0.55000000000000004</v>
      </c>
      <c r="Q24">
        <v>0.19400000000000001</v>
      </c>
      <c r="R24">
        <v>0</v>
      </c>
      <c r="S24">
        <v>3</v>
      </c>
      <c r="T24">
        <v>3</v>
      </c>
      <c r="U24" t="b">
        <f t="shared" si="0"/>
        <v>0</v>
      </c>
    </row>
    <row r="25" spans="1:21" x14ac:dyDescent="0.3">
      <c r="A25">
        <v>24</v>
      </c>
      <c r="B25" t="s">
        <v>26</v>
      </c>
      <c r="C25">
        <v>1</v>
      </c>
      <c r="D25">
        <v>0</v>
      </c>
      <c r="E25">
        <v>1</v>
      </c>
      <c r="F25" t="s">
        <v>2</v>
      </c>
      <c r="G25">
        <v>18</v>
      </c>
      <c r="H25">
        <v>1</v>
      </c>
      <c r="I25" t="s">
        <v>126</v>
      </c>
      <c r="J25">
        <v>2</v>
      </c>
      <c r="K25" t="s">
        <v>124</v>
      </c>
      <c r="L25">
        <v>3</v>
      </c>
      <c r="M25" t="s">
        <v>6</v>
      </c>
      <c r="N25">
        <v>0.16</v>
      </c>
      <c r="O25">
        <v>0.18179999999999999</v>
      </c>
      <c r="P25">
        <v>0.93</v>
      </c>
      <c r="Q25">
        <v>0.1045</v>
      </c>
      <c r="R25">
        <v>1</v>
      </c>
      <c r="S25">
        <v>94</v>
      </c>
      <c r="T25" s="16">
        <v>95</v>
      </c>
      <c r="U25" s="16" t="b">
        <f t="shared" si="0"/>
        <v>1</v>
      </c>
    </row>
    <row r="26" spans="1:21" x14ac:dyDescent="0.3">
      <c r="A26">
        <v>25</v>
      </c>
      <c r="B26" t="s">
        <v>28</v>
      </c>
      <c r="C26">
        <v>1</v>
      </c>
      <c r="D26">
        <v>0</v>
      </c>
      <c r="E26">
        <v>1</v>
      </c>
      <c r="F26" t="s">
        <v>2</v>
      </c>
      <c r="G26">
        <v>0</v>
      </c>
      <c r="H26">
        <v>0</v>
      </c>
      <c r="I26" t="s">
        <v>126</v>
      </c>
      <c r="J26">
        <v>3</v>
      </c>
      <c r="K26" t="s">
        <v>124</v>
      </c>
      <c r="L26">
        <v>2</v>
      </c>
      <c r="M26" t="s">
        <v>4</v>
      </c>
      <c r="N26">
        <v>0.16</v>
      </c>
      <c r="O26">
        <v>0.19700000000000001</v>
      </c>
      <c r="P26">
        <v>0.86</v>
      </c>
      <c r="Q26">
        <v>8.9599999999999999E-2</v>
      </c>
      <c r="R26">
        <v>0</v>
      </c>
      <c r="S26">
        <v>7</v>
      </c>
      <c r="T26">
        <v>7</v>
      </c>
      <c r="U26" t="b">
        <f t="shared" si="0"/>
        <v>0</v>
      </c>
    </row>
    <row r="27" spans="1:21" x14ac:dyDescent="0.3">
      <c r="A27">
        <v>26</v>
      </c>
      <c r="B27" t="s">
        <v>28</v>
      </c>
      <c r="C27">
        <v>1</v>
      </c>
      <c r="D27">
        <v>0</v>
      </c>
      <c r="E27">
        <v>1</v>
      </c>
      <c r="F27" t="s">
        <v>2</v>
      </c>
      <c r="G27">
        <v>2</v>
      </c>
      <c r="H27">
        <v>0</v>
      </c>
      <c r="I27" t="s">
        <v>125</v>
      </c>
      <c r="J27">
        <v>3</v>
      </c>
      <c r="K27" t="s">
        <v>124</v>
      </c>
      <c r="L27">
        <v>1</v>
      </c>
      <c r="M27" t="s">
        <v>3</v>
      </c>
      <c r="N27">
        <v>0.14000000000000001</v>
      </c>
      <c r="O27">
        <v>0.1515</v>
      </c>
      <c r="P27">
        <v>0.86</v>
      </c>
      <c r="Q27">
        <v>0.1343</v>
      </c>
      <c r="R27">
        <v>0</v>
      </c>
      <c r="S27">
        <v>1</v>
      </c>
      <c r="T27">
        <v>1</v>
      </c>
      <c r="U27" t="b">
        <f t="shared" si="0"/>
        <v>0</v>
      </c>
    </row>
    <row r="28" spans="1:21" x14ac:dyDescent="0.3">
      <c r="A28">
        <v>27</v>
      </c>
      <c r="B28" t="s">
        <v>30</v>
      </c>
      <c r="C28">
        <v>1</v>
      </c>
      <c r="D28">
        <v>0</v>
      </c>
      <c r="E28">
        <v>1</v>
      </c>
      <c r="F28" t="s">
        <v>2</v>
      </c>
      <c r="G28">
        <v>0</v>
      </c>
      <c r="H28">
        <v>0</v>
      </c>
      <c r="I28" t="s">
        <v>126</v>
      </c>
      <c r="J28">
        <v>4</v>
      </c>
      <c r="K28" t="s">
        <v>124</v>
      </c>
      <c r="L28">
        <v>1</v>
      </c>
      <c r="M28" t="s">
        <v>3</v>
      </c>
      <c r="N28">
        <v>0.14000000000000001</v>
      </c>
      <c r="O28">
        <v>0.1212</v>
      </c>
      <c r="P28">
        <v>0.59</v>
      </c>
      <c r="Q28">
        <v>0.28360000000000002</v>
      </c>
      <c r="R28">
        <v>1</v>
      </c>
      <c r="S28">
        <v>6</v>
      </c>
      <c r="T28">
        <v>7</v>
      </c>
      <c r="U28" t="b">
        <f t="shared" si="0"/>
        <v>0</v>
      </c>
    </row>
    <row r="29" spans="1:21" x14ac:dyDescent="0.3">
      <c r="A29">
        <v>28</v>
      </c>
      <c r="B29" t="s">
        <v>30</v>
      </c>
      <c r="C29">
        <v>1</v>
      </c>
      <c r="D29">
        <v>0</v>
      </c>
      <c r="E29">
        <v>1</v>
      </c>
      <c r="F29" t="s">
        <v>2</v>
      </c>
      <c r="G29">
        <v>10</v>
      </c>
      <c r="H29">
        <v>0</v>
      </c>
      <c r="I29" t="s">
        <v>126</v>
      </c>
      <c r="J29">
        <v>4</v>
      </c>
      <c r="K29" t="s">
        <v>124</v>
      </c>
      <c r="L29">
        <v>2</v>
      </c>
      <c r="M29" t="s">
        <v>4</v>
      </c>
      <c r="N29">
        <v>0.16</v>
      </c>
      <c r="O29">
        <v>0.13639999999999999</v>
      </c>
      <c r="P29">
        <v>0.5</v>
      </c>
      <c r="Q29">
        <v>0.35820000000000002</v>
      </c>
      <c r="R29">
        <v>2</v>
      </c>
      <c r="S29">
        <v>36</v>
      </c>
      <c r="T29">
        <v>38</v>
      </c>
      <c r="U29" t="b">
        <f t="shared" si="0"/>
        <v>0</v>
      </c>
    </row>
    <row r="30" spans="1:21" x14ac:dyDescent="0.3">
      <c r="A30">
        <v>29</v>
      </c>
      <c r="B30" t="s">
        <v>32</v>
      </c>
      <c r="C30">
        <v>1</v>
      </c>
      <c r="D30">
        <v>0</v>
      </c>
      <c r="E30">
        <v>1</v>
      </c>
      <c r="F30" t="s">
        <v>2</v>
      </c>
      <c r="G30">
        <v>0</v>
      </c>
      <c r="H30">
        <v>0</v>
      </c>
      <c r="I30" t="s">
        <v>125</v>
      </c>
      <c r="J30">
        <v>5</v>
      </c>
      <c r="K30" t="s">
        <v>124</v>
      </c>
      <c r="L30">
        <v>1</v>
      </c>
      <c r="M30" t="s">
        <v>3</v>
      </c>
      <c r="N30">
        <v>0.12</v>
      </c>
      <c r="O30">
        <v>0.13639999999999999</v>
      </c>
      <c r="P30">
        <v>0.5</v>
      </c>
      <c r="Q30">
        <v>0.19400000000000001</v>
      </c>
      <c r="R30">
        <v>0</v>
      </c>
      <c r="S30">
        <v>14</v>
      </c>
      <c r="T30">
        <v>14</v>
      </c>
      <c r="U30" t="b">
        <f t="shared" si="0"/>
        <v>0</v>
      </c>
    </row>
    <row r="31" spans="1:21" x14ac:dyDescent="0.3">
      <c r="A31">
        <v>30</v>
      </c>
      <c r="B31" t="s">
        <v>32</v>
      </c>
      <c r="C31">
        <v>1</v>
      </c>
      <c r="D31">
        <v>0</v>
      </c>
      <c r="E31">
        <v>1</v>
      </c>
      <c r="F31" t="s">
        <v>2</v>
      </c>
      <c r="G31">
        <v>22</v>
      </c>
      <c r="H31">
        <v>1</v>
      </c>
      <c r="I31" t="s">
        <v>125</v>
      </c>
      <c r="J31">
        <v>5</v>
      </c>
      <c r="K31" t="s">
        <v>124</v>
      </c>
      <c r="L31">
        <v>2</v>
      </c>
      <c r="M31" t="s">
        <v>4</v>
      </c>
      <c r="N31">
        <v>0.16</v>
      </c>
      <c r="O31">
        <v>0.2273</v>
      </c>
      <c r="P31">
        <v>0.69</v>
      </c>
      <c r="Q31">
        <v>0</v>
      </c>
      <c r="R31">
        <v>2</v>
      </c>
      <c r="S31">
        <v>34</v>
      </c>
      <c r="T31">
        <v>36</v>
      </c>
      <c r="U31" t="b">
        <f t="shared" si="0"/>
        <v>0</v>
      </c>
    </row>
    <row r="32" spans="1:21" x14ac:dyDescent="0.3">
      <c r="A32">
        <v>31</v>
      </c>
      <c r="B32" t="s">
        <v>34</v>
      </c>
      <c r="C32">
        <v>1</v>
      </c>
      <c r="D32">
        <v>0</v>
      </c>
      <c r="E32">
        <v>1</v>
      </c>
      <c r="F32" t="s">
        <v>2</v>
      </c>
      <c r="G32">
        <v>0</v>
      </c>
      <c r="H32">
        <v>0</v>
      </c>
      <c r="I32" t="s">
        <v>125</v>
      </c>
      <c r="J32">
        <v>6</v>
      </c>
      <c r="K32" t="s">
        <v>108</v>
      </c>
      <c r="L32">
        <v>1</v>
      </c>
      <c r="M32" t="s">
        <v>3</v>
      </c>
      <c r="N32">
        <v>0.18</v>
      </c>
      <c r="O32">
        <v>0.2424</v>
      </c>
      <c r="P32">
        <v>0.55000000000000004</v>
      </c>
      <c r="Q32">
        <v>0</v>
      </c>
      <c r="R32">
        <v>3</v>
      </c>
      <c r="S32">
        <v>25</v>
      </c>
      <c r="T32">
        <v>28</v>
      </c>
      <c r="U32" t="b">
        <f t="shared" si="0"/>
        <v>0</v>
      </c>
    </row>
    <row r="33" spans="1:21" x14ac:dyDescent="0.3">
      <c r="A33">
        <v>32</v>
      </c>
      <c r="B33" t="s">
        <v>34</v>
      </c>
      <c r="C33">
        <v>1</v>
      </c>
      <c r="D33">
        <v>0</v>
      </c>
      <c r="E33">
        <v>1</v>
      </c>
      <c r="F33" t="s">
        <v>2</v>
      </c>
      <c r="G33">
        <v>1</v>
      </c>
      <c r="H33">
        <v>0</v>
      </c>
      <c r="I33" t="s">
        <v>125</v>
      </c>
      <c r="J33">
        <v>6</v>
      </c>
      <c r="K33" t="s">
        <v>108</v>
      </c>
      <c r="L33">
        <v>2</v>
      </c>
      <c r="M33" t="s">
        <v>4</v>
      </c>
      <c r="N33">
        <v>0.16</v>
      </c>
      <c r="O33">
        <v>0.19700000000000001</v>
      </c>
      <c r="P33">
        <v>0.59</v>
      </c>
      <c r="Q33">
        <v>8.9599999999999999E-2</v>
      </c>
      <c r="R33">
        <v>2</v>
      </c>
      <c r="S33">
        <v>18</v>
      </c>
      <c r="T33">
        <v>20</v>
      </c>
      <c r="U33" t="b">
        <f t="shared" si="0"/>
        <v>0</v>
      </c>
    </row>
    <row r="34" spans="1:21" x14ac:dyDescent="0.3">
      <c r="A34">
        <v>33</v>
      </c>
      <c r="B34" t="s">
        <v>36</v>
      </c>
      <c r="C34">
        <v>1</v>
      </c>
      <c r="D34">
        <v>0</v>
      </c>
      <c r="E34">
        <v>1</v>
      </c>
      <c r="F34" t="s">
        <v>2</v>
      </c>
      <c r="G34">
        <v>0</v>
      </c>
      <c r="H34">
        <v>0</v>
      </c>
      <c r="I34" t="s">
        <v>125</v>
      </c>
      <c r="J34">
        <v>0</v>
      </c>
      <c r="K34" t="s">
        <v>108</v>
      </c>
      <c r="L34">
        <v>1</v>
      </c>
      <c r="M34" t="s">
        <v>3</v>
      </c>
      <c r="N34">
        <v>0.26</v>
      </c>
      <c r="O34">
        <v>0.30299999999999999</v>
      </c>
      <c r="P34">
        <v>0.56000000000000005</v>
      </c>
      <c r="Q34">
        <v>0</v>
      </c>
      <c r="R34">
        <v>6</v>
      </c>
      <c r="S34">
        <v>33</v>
      </c>
      <c r="T34">
        <v>39</v>
      </c>
      <c r="U34" t="b">
        <f t="shared" si="0"/>
        <v>0</v>
      </c>
    </row>
    <row r="35" spans="1:21" x14ac:dyDescent="0.3">
      <c r="A35">
        <v>34</v>
      </c>
      <c r="B35" t="s">
        <v>36</v>
      </c>
      <c r="C35">
        <v>1</v>
      </c>
      <c r="D35">
        <v>0</v>
      </c>
      <c r="E35">
        <v>1</v>
      </c>
      <c r="F35" t="s">
        <v>2</v>
      </c>
      <c r="G35">
        <v>5</v>
      </c>
      <c r="H35">
        <v>0</v>
      </c>
      <c r="I35" t="s">
        <v>125</v>
      </c>
      <c r="J35">
        <v>0</v>
      </c>
      <c r="K35" t="s">
        <v>108</v>
      </c>
      <c r="L35">
        <v>2</v>
      </c>
      <c r="M35" t="s">
        <v>4</v>
      </c>
      <c r="N35">
        <v>0.26</v>
      </c>
      <c r="O35">
        <v>0.2576</v>
      </c>
      <c r="P35">
        <v>0.56000000000000005</v>
      </c>
      <c r="Q35">
        <v>0.16420000000000001</v>
      </c>
      <c r="R35">
        <v>1</v>
      </c>
      <c r="S35">
        <v>1</v>
      </c>
      <c r="T35">
        <v>2</v>
      </c>
      <c r="U35" t="b">
        <f t="shared" si="0"/>
        <v>0</v>
      </c>
    </row>
    <row r="36" spans="1:21" x14ac:dyDescent="0.3">
      <c r="A36">
        <v>35</v>
      </c>
      <c r="B36" t="s">
        <v>38</v>
      </c>
      <c r="C36">
        <v>1</v>
      </c>
      <c r="D36">
        <v>0</v>
      </c>
      <c r="E36">
        <v>1</v>
      </c>
      <c r="F36" t="s">
        <v>2</v>
      </c>
      <c r="G36">
        <v>0</v>
      </c>
      <c r="H36">
        <v>0</v>
      </c>
      <c r="I36" t="s">
        <v>126</v>
      </c>
      <c r="J36">
        <v>1</v>
      </c>
      <c r="K36" t="s">
        <v>124</v>
      </c>
      <c r="L36">
        <v>2</v>
      </c>
      <c r="M36" t="s">
        <v>4</v>
      </c>
      <c r="N36">
        <v>0.2</v>
      </c>
      <c r="O36">
        <v>0.19700000000000001</v>
      </c>
      <c r="P36">
        <v>0.47</v>
      </c>
      <c r="Q36">
        <v>0.22389999999999999</v>
      </c>
      <c r="R36">
        <v>1</v>
      </c>
      <c r="S36">
        <v>16</v>
      </c>
      <c r="T36">
        <v>17</v>
      </c>
      <c r="U36" t="b">
        <f t="shared" si="0"/>
        <v>0</v>
      </c>
    </row>
    <row r="37" spans="1:21" x14ac:dyDescent="0.3">
      <c r="A37">
        <v>36</v>
      </c>
      <c r="B37" t="s">
        <v>38</v>
      </c>
      <c r="C37">
        <v>1</v>
      </c>
      <c r="D37">
        <v>0</v>
      </c>
      <c r="E37">
        <v>1</v>
      </c>
      <c r="F37" t="s">
        <v>2</v>
      </c>
      <c r="G37">
        <v>17</v>
      </c>
      <c r="H37">
        <v>1</v>
      </c>
      <c r="I37" t="s">
        <v>126</v>
      </c>
      <c r="J37">
        <v>1</v>
      </c>
      <c r="K37" t="s">
        <v>124</v>
      </c>
      <c r="L37">
        <v>1</v>
      </c>
      <c r="M37" t="s">
        <v>3</v>
      </c>
      <c r="N37">
        <v>0.2</v>
      </c>
      <c r="O37">
        <v>0.19700000000000001</v>
      </c>
      <c r="P37">
        <v>0.51</v>
      </c>
      <c r="Q37">
        <v>0.19400000000000001</v>
      </c>
      <c r="R37">
        <v>4</v>
      </c>
      <c r="S37">
        <v>67</v>
      </c>
      <c r="T37">
        <v>71</v>
      </c>
      <c r="U37" t="b">
        <f t="shared" si="0"/>
        <v>0</v>
      </c>
    </row>
    <row r="38" spans="1:21" x14ac:dyDescent="0.3">
      <c r="A38">
        <v>37</v>
      </c>
      <c r="B38" t="s">
        <v>38</v>
      </c>
      <c r="C38">
        <v>1</v>
      </c>
      <c r="D38">
        <v>0</v>
      </c>
      <c r="E38">
        <v>1</v>
      </c>
      <c r="F38" t="s">
        <v>2</v>
      </c>
      <c r="G38">
        <v>19</v>
      </c>
      <c r="H38">
        <v>1</v>
      </c>
      <c r="I38" t="s">
        <v>125</v>
      </c>
      <c r="J38">
        <v>1</v>
      </c>
      <c r="K38" t="s">
        <v>124</v>
      </c>
      <c r="L38">
        <v>3</v>
      </c>
      <c r="M38" t="s">
        <v>6</v>
      </c>
      <c r="N38">
        <v>0.18</v>
      </c>
      <c r="O38">
        <v>0.18179999999999999</v>
      </c>
      <c r="P38">
        <v>0.59</v>
      </c>
      <c r="Q38">
        <v>0.19400000000000001</v>
      </c>
      <c r="R38">
        <v>2</v>
      </c>
      <c r="S38">
        <v>58</v>
      </c>
      <c r="T38">
        <v>60</v>
      </c>
      <c r="U38" t="b">
        <f t="shared" si="0"/>
        <v>0</v>
      </c>
    </row>
    <row r="39" spans="1:21" x14ac:dyDescent="0.3">
      <c r="A39">
        <v>38</v>
      </c>
      <c r="B39" t="s">
        <v>40</v>
      </c>
      <c r="C39">
        <v>1</v>
      </c>
      <c r="D39">
        <v>0</v>
      </c>
      <c r="E39">
        <v>1</v>
      </c>
      <c r="F39" t="s">
        <v>2</v>
      </c>
      <c r="G39">
        <v>12</v>
      </c>
      <c r="H39">
        <v>1</v>
      </c>
      <c r="I39" t="s">
        <v>126</v>
      </c>
      <c r="J39">
        <v>2</v>
      </c>
      <c r="K39" t="s">
        <v>124</v>
      </c>
      <c r="L39">
        <v>2</v>
      </c>
      <c r="M39" t="s">
        <v>4</v>
      </c>
      <c r="N39">
        <v>0.2</v>
      </c>
      <c r="O39">
        <v>0.18179999999999999</v>
      </c>
      <c r="P39">
        <v>0.86</v>
      </c>
      <c r="Q39">
        <v>0.32840000000000003</v>
      </c>
      <c r="R39">
        <v>0</v>
      </c>
      <c r="S39">
        <v>3</v>
      </c>
      <c r="T39">
        <v>3</v>
      </c>
      <c r="U39" t="b">
        <f t="shared" si="0"/>
        <v>0</v>
      </c>
    </row>
    <row r="40" spans="1:21" x14ac:dyDescent="0.3">
      <c r="A40">
        <v>39</v>
      </c>
      <c r="B40" t="s">
        <v>42</v>
      </c>
      <c r="C40">
        <v>1</v>
      </c>
      <c r="D40">
        <v>0</v>
      </c>
      <c r="E40">
        <v>1</v>
      </c>
      <c r="F40" t="s">
        <v>2</v>
      </c>
      <c r="G40">
        <v>0</v>
      </c>
      <c r="H40">
        <v>0</v>
      </c>
      <c r="I40" t="s">
        <v>126</v>
      </c>
      <c r="J40">
        <v>3</v>
      </c>
      <c r="K40" t="s">
        <v>124</v>
      </c>
      <c r="L40">
        <v>2</v>
      </c>
      <c r="M40" t="s">
        <v>4</v>
      </c>
      <c r="N40">
        <v>0.22</v>
      </c>
      <c r="O40">
        <v>0.2727</v>
      </c>
      <c r="P40">
        <v>0.93</v>
      </c>
      <c r="Q40">
        <v>0</v>
      </c>
      <c r="R40">
        <v>0</v>
      </c>
      <c r="S40">
        <v>3</v>
      </c>
      <c r="T40">
        <v>3</v>
      </c>
      <c r="U40" t="b">
        <f t="shared" si="0"/>
        <v>0</v>
      </c>
    </row>
    <row r="41" spans="1:21" x14ac:dyDescent="0.3">
      <c r="A41">
        <v>40</v>
      </c>
      <c r="B41" t="s">
        <v>42</v>
      </c>
      <c r="C41">
        <v>1</v>
      </c>
      <c r="D41">
        <v>0</v>
      </c>
      <c r="E41">
        <v>1</v>
      </c>
      <c r="F41" t="s">
        <v>2</v>
      </c>
      <c r="G41">
        <v>1</v>
      </c>
      <c r="H41">
        <v>0</v>
      </c>
      <c r="I41" t="s">
        <v>126</v>
      </c>
      <c r="J41">
        <v>3</v>
      </c>
      <c r="K41" t="s">
        <v>124</v>
      </c>
      <c r="L41">
        <v>3</v>
      </c>
      <c r="M41" t="s">
        <v>6</v>
      </c>
      <c r="N41">
        <v>0.22</v>
      </c>
      <c r="O41">
        <v>0.2273</v>
      </c>
      <c r="P41">
        <v>0.93</v>
      </c>
      <c r="Q41">
        <v>0.1343</v>
      </c>
      <c r="R41">
        <v>1</v>
      </c>
      <c r="S41">
        <v>6</v>
      </c>
      <c r="T41">
        <v>7</v>
      </c>
      <c r="U41" t="b">
        <f t="shared" si="0"/>
        <v>0</v>
      </c>
    </row>
    <row r="42" spans="1:21" x14ac:dyDescent="0.3">
      <c r="A42">
        <v>41</v>
      </c>
      <c r="B42" t="s">
        <v>42</v>
      </c>
      <c r="C42">
        <v>1</v>
      </c>
      <c r="D42">
        <v>0</v>
      </c>
      <c r="E42">
        <v>1</v>
      </c>
      <c r="F42" t="s">
        <v>2</v>
      </c>
      <c r="G42">
        <v>13</v>
      </c>
      <c r="H42">
        <v>1</v>
      </c>
      <c r="I42" t="s">
        <v>126</v>
      </c>
      <c r="J42">
        <v>3</v>
      </c>
      <c r="K42" t="s">
        <v>124</v>
      </c>
      <c r="L42">
        <v>1</v>
      </c>
      <c r="M42" t="s">
        <v>3</v>
      </c>
      <c r="N42">
        <v>0.4</v>
      </c>
      <c r="O42">
        <v>0.40910000000000002</v>
      </c>
      <c r="P42">
        <v>0.62</v>
      </c>
      <c r="Q42">
        <v>0.28360000000000002</v>
      </c>
      <c r="R42">
        <v>11</v>
      </c>
      <c r="S42">
        <v>67</v>
      </c>
      <c r="T42">
        <v>78</v>
      </c>
      <c r="U42" t="b">
        <f t="shared" si="0"/>
        <v>0</v>
      </c>
    </row>
    <row r="43" spans="1:21" x14ac:dyDescent="0.3">
      <c r="A43">
        <v>42</v>
      </c>
      <c r="B43" t="s">
        <v>44</v>
      </c>
      <c r="C43">
        <v>1</v>
      </c>
      <c r="D43">
        <v>0</v>
      </c>
      <c r="E43">
        <v>1</v>
      </c>
      <c r="F43" t="s">
        <v>2</v>
      </c>
      <c r="G43">
        <v>0</v>
      </c>
      <c r="H43">
        <v>0</v>
      </c>
      <c r="I43" t="s">
        <v>126</v>
      </c>
      <c r="J43">
        <v>4</v>
      </c>
      <c r="K43" t="s">
        <v>124</v>
      </c>
      <c r="L43">
        <v>1</v>
      </c>
      <c r="M43" t="s">
        <v>3</v>
      </c>
      <c r="N43">
        <v>0.26</v>
      </c>
      <c r="O43">
        <v>0.2273</v>
      </c>
      <c r="P43">
        <v>0.56000000000000005</v>
      </c>
      <c r="Q43">
        <v>0.3881</v>
      </c>
      <c r="R43">
        <v>5</v>
      </c>
      <c r="S43">
        <v>8</v>
      </c>
      <c r="T43">
        <v>13</v>
      </c>
      <c r="U43" t="b">
        <f t="shared" si="0"/>
        <v>0</v>
      </c>
    </row>
    <row r="44" spans="1:21" x14ac:dyDescent="0.3">
      <c r="A44">
        <v>43</v>
      </c>
      <c r="B44" t="s">
        <v>44</v>
      </c>
      <c r="C44">
        <v>1</v>
      </c>
      <c r="D44">
        <v>0</v>
      </c>
      <c r="E44">
        <v>1</v>
      </c>
      <c r="F44" t="s">
        <v>2</v>
      </c>
      <c r="G44">
        <v>9</v>
      </c>
      <c r="H44">
        <v>0</v>
      </c>
      <c r="I44" t="s">
        <v>126</v>
      </c>
      <c r="J44">
        <v>4</v>
      </c>
      <c r="K44" t="s">
        <v>124</v>
      </c>
      <c r="L44">
        <v>2</v>
      </c>
      <c r="M44" t="s">
        <v>4</v>
      </c>
      <c r="N44">
        <v>0.24</v>
      </c>
      <c r="O44">
        <v>0.2273</v>
      </c>
      <c r="P44">
        <v>0.52</v>
      </c>
      <c r="Q44">
        <v>0.22389999999999999</v>
      </c>
      <c r="R44">
        <v>3</v>
      </c>
      <c r="S44">
        <v>140</v>
      </c>
      <c r="T44" s="16">
        <v>143</v>
      </c>
      <c r="U44" s="16" t="b">
        <f t="shared" si="0"/>
        <v>1</v>
      </c>
    </row>
    <row r="45" spans="1:21" x14ac:dyDescent="0.3">
      <c r="A45">
        <v>44</v>
      </c>
      <c r="B45" t="s">
        <v>46</v>
      </c>
      <c r="C45">
        <v>1</v>
      </c>
      <c r="D45">
        <v>0</v>
      </c>
      <c r="E45">
        <v>1</v>
      </c>
      <c r="F45" t="s">
        <v>2</v>
      </c>
      <c r="G45">
        <v>0</v>
      </c>
      <c r="H45">
        <v>0</v>
      </c>
      <c r="I45" t="s">
        <v>125</v>
      </c>
      <c r="J45">
        <v>5</v>
      </c>
      <c r="K45" t="s">
        <v>124</v>
      </c>
      <c r="L45">
        <v>2</v>
      </c>
      <c r="M45" t="s">
        <v>4</v>
      </c>
      <c r="N45">
        <v>0.24</v>
      </c>
      <c r="O45">
        <v>0.2273</v>
      </c>
      <c r="P45">
        <v>0.7</v>
      </c>
      <c r="Q45">
        <v>0.25369999999999998</v>
      </c>
      <c r="R45">
        <v>1</v>
      </c>
      <c r="S45">
        <v>20</v>
      </c>
      <c r="T45">
        <v>21</v>
      </c>
      <c r="U45" t="b">
        <f t="shared" si="0"/>
        <v>0</v>
      </c>
    </row>
    <row r="46" spans="1:21" x14ac:dyDescent="0.3">
      <c r="A46">
        <v>45</v>
      </c>
      <c r="B46" t="s">
        <v>46</v>
      </c>
      <c r="C46">
        <v>1</v>
      </c>
      <c r="D46">
        <v>0</v>
      </c>
      <c r="E46">
        <v>1</v>
      </c>
      <c r="F46" t="s">
        <v>2</v>
      </c>
      <c r="G46">
        <v>2</v>
      </c>
      <c r="H46">
        <v>0</v>
      </c>
      <c r="I46" t="s">
        <v>125</v>
      </c>
      <c r="J46">
        <v>5</v>
      </c>
      <c r="K46" t="s">
        <v>124</v>
      </c>
      <c r="L46">
        <v>3</v>
      </c>
      <c r="M46" t="s">
        <v>6</v>
      </c>
      <c r="N46">
        <v>0.24</v>
      </c>
      <c r="O46">
        <v>0.2424</v>
      </c>
      <c r="P46">
        <v>0.75</v>
      </c>
      <c r="Q46">
        <v>0.16420000000000001</v>
      </c>
      <c r="R46">
        <v>0</v>
      </c>
      <c r="S46">
        <v>2</v>
      </c>
      <c r="T46">
        <v>2</v>
      </c>
      <c r="U46" t="b">
        <f t="shared" si="0"/>
        <v>0</v>
      </c>
    </row>
    <row r="47" spans="1:21" x14ac:dyDescent="0.3">
      <c r="A47">
        <v>46</v>
      </c>
      <c r="B47" t="s">
        <v>46</v>
      </c>
      <c r="C47">
        <v>1</v>
      </c>
      <c r="D47">
        <v>0</v>
      </c>
      <c r="E47">
        <v>1</v>
      </c>
      <c r="F47" t="s">
        <v>2</v>
      </c>
      <c r="G47">
        <v>5</v>
      </c>
      <c r="H47">
        <v>0</v>
      </c>
      <c r="I47" t="s">
        <v>125</v>
      </c>
      <c r="J47">
        <v>5</v>
      </c>
      <c r="K47" t="s">
        <v>124</v>
      </c>
      <c r="L47">
        <v>1</v>
      </c>
      <c r="M47" t="s">
        <v>3</v>
      </c>
      <c r="N47">
        <v>0.24</v>
      </c>
      <c r="O47">
        <v>0.19700000000000001</v>
      </c>
      <c r="P47">
        <v>0.6</v>
      </c>
      <c r="Q47">
        <v>0.41789999999999999</v>
      </c>
      <c r="R47">
        <v>1</v>
      </c>
      <c r="S47">
        <v>4</v>
      </c>
      <c r="T47">
        <v>5</v>
      </c>
      <c r="U47" t="b">
        <f t="shared" si="0"/>
        <v>0</v>
      </c>
    </row>
    <row r="48" spans="1:21" x14ac:dyDescent="0.3">
      <c r="A48">
        <v>47</v>
      </c>
      <c r="B48" t="s">
        <v>48</v>
      </c>
      <c r="C48">
        <v>1</v>
      </c>
      <c r="D48">
        <v>0</v>
      </c>
      <c r="E48">
        <v>1</v>
      </c>
      <c r="F48" t="s">
        <v>2</v>
      </c>
      <c r="G48">
        <v>0</v>
      </c>
      <c r="H48">
        <v>0</v>
      </c>
      <c r="I48" t="s">
        <v>125</v>
      </c>
      <c r="J48">
        <v>6</v>
      </c>
      <c r="K48" t="s">
        <v>108</v>
      </c>
      <c r="L48">
        <v>1</v>
      </c>
      <c r="M48" t="s">
        <v>3</v>
      </c>
      <c r="N48">
        <v>0.04</v>
      </c>
      <c r="O48">
        <v>3.0300000000000001E-2</v>
      </c>
      <c r="P48">
        <v>0.45</v>
      </c>
      <c r="Q48">
        <v>0.25369999999999998</v>
      </c>
      <c r="R48">
        <v>0</v>
      </c>
      <c r="S48">
        <v>13</v>
      </c>
      <c r="T48">
        <v>13</v>
      </c>
      <c r="U48" t="b">
        <f t="shared" si="0"/>
        <v>0</v>
      </c>
    </row>
    <row r="49" spans="1:21" x14ac:dyDescent="0.3">
      <c r="A49">
        <v>48</v>
      </c>
      <c r="B49" t="s">
        <v>48</v>
      </c>
      <c r="C49">
        <v>1</v>
      </c>
      <c r="D49">
        <v>0</v>
      </c>
      <c r="E49">
        <v>1</v>
      </c>
      <c r="F49" t="s">
        <v>2</v>
      </c>
      <c r="G49">
        <v>1</v>
      </c>
      <c r="H49">
        <v>0</v>
      </c>
      <c r="I49" t="s">
        <v>125</v>
      </c>
      <c r="J49">
        <v>6</v>
      </c>
      <c r="K49" t="s">
        <v>108</v>
      </c>
      <c r="L49">
        <v>2</v>
      </c>
      <c r="M49" t="s">
        <v>4</v>
      </c>
      <c r="N49">
        <v>0.04</v>
      </c>
      <c r="O49">
        <v>0</v>
      </c>
      <c r="P49">
        <v>0.41</v>
      </c>
      <c r="Q49">
        <v>0.3881</v>
      </c>
      <c r="R49">
        <v>3</v>
      </c>
      <c r="S49">
        <v>9</v>
      </c>
      <c r="T49">
        <v>12</v>
      </c>
      <c r="U49" t="b">
        <f t="shared" si="0"/>
        <v>0</v>
      </c>
    </row>
    <row r="50" spans="1:21" x14ac:dyDescent="0.3">
      <c r="A50">
        <v>49</v>
      </c>
      <c r="B50" t="s">
        <v>50</v>
      </c>
      <c r="C50">
        <v>1</v>
      </c>
      <c r="D50">
        <v>0</v>
      </c>
      <c r="E50">
        <v>1</v>
      </c>
      <c r="F50" t="s">
        <v>2</v>
      </c>
      <c r="G50">
        <v>0</v>
      </c>
      <c r="H50">
        <v>0</v>
      </c>
      <c r="I50" t="s">
        <v>125</v>
      </c>
      <c r="J50">
        <v>0</v>
      </c>
      <c r="K50" t="s">
        <v>108</v>
      </c>
      <c r="L50">
        <v>1</v>
      </c>
      <c r="M50" t="s">
        <v>3</v>
      </c>
      <c r="N50">
        <v>0.04</v>
      </c>
      <c r="O50">
        <v>7.5800000000000006E-2</v>
      </c>
      <c r="P50">
        <v>0.56999999999999995</v>
      </c>
      <c r="Q50">
        <v>0.1045</v>
      </c>
      <c r="R50">
        <v>2</v>
      </c>
      <c r="S50">
        <v>20</v>
      </c>
      <c r="T50">
        <v>22</v>
      </c>
      <c r="U50" t="b">
        <f t="shared" si="0"/>
        <v>0</v>
      </c>
    </row>
    <row r="51" spans="1:21" x14ac:dyDescent="0.3">
      <c r="A51">
        <v>50</v>
      </c>
      <c r="B51" t="s">
        <v>50</v>
      </c>
      <c r="C51">
        <v>1</v>
      </c>
      <c r="D51">
        <v>0</v>
      </c>
      <c r="E51">
        <v>1</v>
      </c>
      <c r="F51" t="s">
        <v>2</v>
      </c>
      <c r="G51">
        <v>5</v>
      </c>
      <c r="H51">
        <v>0</v>
      </c>
      <c r="I51" t="s">
        <v>125</v>
      </c>
      <c r="J51">
        <v>0</v>
      </c>
      <c r="K51" t="s">
        <v>108</v>
      </c>
      <c r="L51">
        <v>2</v>
      </c>
      <c r="M51" t="s">
        <v>4</v>
      </c>
      <c r="N51">
        <v>0.04</v>
      </c>
      <c r="O51">
        <v>7.5800000000000006E-2</v>
      </c>
      <c r="P51">
        <v>0.56999999999999995</v>
      </c>
      <c r="Q51">
        <v>0.1045</v>
      </c>
      <c r="R51">
        <v>0</v>
      </c>
      <c r="S51">
        <v>3</v>
      </c>
      <c r="T51">
        <v>3</v>
      </c>
      <c r="U51" t="b">
        <f t="shared" si="0"/>
        <v>0</v>
      </c>
    </row>
    <row r="52" spans="1:21" x14ac:dyDescent="0.3">
      <c r="A52">
        <v>51</v>
      </c>
      <c r="B52" t="s">
        <v>52</v>
      </c>
      <c r="C52">
        <v>1</v>
      </c>
      <c r="D52">
        <v>0</v>
      </c>
      <c r="E52">
        <v>1</v>
      </c>
      <c r="F52" t="s">
        <v>2</v>
      </c>
      <c r="G52">
        <v>0</v>
      </c>
      <c r="H52">
        <v>0</v>
      </c>
      <c r="I52" t="s">
        <v>126</v>
      </c>
      <c r="J52">
        <v>1</v>
      </c>
      <c r="K52" t="s">
        <v>124</v>
      </c>
      <c r="L52">
        <v>1</v>
      </c>
      <c r="M52" t="s">
        <v>3</v>
      </c>
      <c r="N52">
        <v>0.06</v>
      </c>
      <c r="O52">
        <v>6.0600000000000001E-2</v>
      </c>
      <c r="P52">
        <v>0.41</v>
      </c>
      <c r="Q52">
        <v>0.19400000000000001</v>
      </c>
      <c r="R52">
        <v>0</v>
      </c>
      <c r="S52">
        <v>7</v>
      </c>
      <c r="T52">
        <v>7</v>
      </c>
      <c r="U52" t="b">
        <f t="shared" si="0"/>
        <v>0</v>
      </c>
    </row>
    <row r="53" spans="1:21" x14ac:dyDescent="0.3">
      <c r="A53">
        <v>52</v>
      </c>
      <c r="B53" t="s">
        <v>52</v>
      </c>
      <c r="C53">
        <v>1</v>
      </c>
      <c r="D53">
        <v>0</v>
      </c>
      <c r="E53">
        <v>1</v>
      </c>
      <c r="F53" t="s">
        <v>2</v>
      </c>
      <c r="G53">
        <v>12</v>
      </c>
      <c r="H53">
        <v>1</v>
      </c>
      <c r="I53" t="s">
        <v>126</v>
      </c>
      <c r="J53">
        <v>1</v>
      </c>
      <c r="K53" t="s">
        <v>124</v>
      </c>
      <c r="L53">
        <v>2</v>
      </c>
      <c r="M53" t="s">
        <v>4</v>
      </c>
      <c r="N53">
        <v>0.12</v>
      </c>
      <c r="O53">
        <v>0.13639999999999999</v>
      </c>
      <c r="P53">
        <v>0.42</v>
      </c>
      <c r="Q53">
        <v>0.19400000000000001</v>
      </c>
      <c r="R53">
        <v>11</v>
      </c>
      <c r="S53">
        <v>52</v>
      </c>
      <c r="T53">
        <v>63</v>
      </c>
      <c r="U53" t="b">
        <f t="shared" si="0"/>
        <v>0</v>
      </c>
    </row>
    <row r="54" spans="1:21" x14ac:dyDescent="0.3">
      <c r="A54">
        <v>53</v>
      </c>
      <c r="B54" t="s">
        <v>54</v>
      </c>
      <c r="C54">
        <v>1</v>
      </c>
      <c r="D54">
        <v>0</v>
      </c>
      <c r="E54">
        <v>1</v>
      </c>
      <c r="F54" t="s">
        <v>2</v>
      </c>
      <c r="G54">
        <v>0</v>
      </c>
      <c r="H54">
        <v>0</v>
      </c>
      <c r="I54" t="s">
        <v>125</v>
      </c>
      <c r="J54">
        <v>2</v>
      </c>
      <c r="K54" t="s">
        <v>124</v>
      </c>
      <c r="L54">
        <v>2</v>
      </c>
      <c r="M54" t="s">
        <v>4</v>
      </c>
      <c r="N54">
        <v>0.16</v>
      </c>
      <c r="O54">
        <v>0.13639999999999999</v>
      </c>
      <c r="P54">
        <v>0.69</v>
      </c>
      <c r="Q54">
        <v>0.28360000000000002</v>
      </c>
      <c r="R54">
        <v>3</v>
      </c>
      <c r="S54">
        <v>6</v>
      </c>
      <c r="T54">
        <v>9</v>
      </c>
      <c r="U54" t="b">
        <f t="shared" si="0"/>
        <v>0</v>
      </c>
    </row>
    <row r="55" spans="1:21" x14ac:dyDescent="0.3">
      <c r="A55">
        <v>54</v>
      </c>
      <c r="B55" t="s">
        <v>54</v>
      </c>
      <c r="C55">
        <v>1</v>
      </c>
      <c r="D55">
        <v>0</v>
      </c>
      <c r="E55">
        <v>1</v>
      </c>
      <c r="F55" t="s">
        <v>2</v>
      </c>
      <c r="G55">
        <v>2</v>
      </c>
      <c r="H55">
        <v>0</v>
      </c>
      <c r="I55" t="s">
        <v>126</v>
      </c>
      <c r="J55">
        <v>2</v>
      </c>
      <c r="K55" t="s">
        <v>124</v>
      </c>
      <c r="L55">
        <v>1</v>
      </c>
      <c r="M55" t="s">
        <v>3</v>
      </c>
      <c r="N55">
        <v>0.16</v>
      </c>
      <c r="O55">
        <v>0.1515</v>
      </c>
      <c r="P55">
        <v>0.69</v>
      </c>
      <c r="Q55">
        <v>0.22389999999999999</v>
      </c>
      <c r="R55">
        <v>0</v>
      </c>
      <c r="S55">
        <v>2</v>
      </c>
      <c r="T55">
        <v>2</v>
      </c>
      <c r="U55" t="b">
        <f t="shared" si="0"/>
        <v>0</v>
      </c>
    </row>
    <row r="56" spans="1:21" x14ac:dyDescent="0.3">
      <c r="A56">
        <v>55</v>
      </c>
      <c r="B56" t="s">
        <v>56</v>
      </c>
      <c r="C56">
        <v>1</v>
      </c>
      <c r="D56">
        <v>0</v>
      </c>
      <c r="E56">
        <v>1</v>
      </c>
      <c r="F56" t="s">
        <v>2</v>
      </c>
      <c r="G56">
        <v>0</v>
      </c>
      <c r="H56">
        <v>0</v>
      </c>
      <c r="I56" t="s">
        <v>126</v>
      </c>
      <c r="J56">
        <v>3</v>
      </c>
      <c r="K56" t="s">
        <v>124</v>
      </c>
      <c r="L56">
        <v>2</v>
      </c>
      <c r="M56" t="s">
        <v>4</v>
      </c>
      <c r="N56">
        <v>0.22</v>
      </c>
      <c r="O56">
        <v>0.2273</v>
      </c>
      <c r="P56">
        <v>0.69</v>
      </c>
      <c r="Q56">
        <v>0.1343</v>
      </c>
      <c r="R56">
        <v>3</v>
      </c>
      <c r="S56">
        <v>14</v>
      </c>
      <c r="T56">
        <v>17</v>
      </c>
      <c r="U56" t="b">
        <f t="shared" si="0"/>
        <v>0</v>
      </c>
    </row>
    <row r="57" spans="1:21" x14ac:dyDescent="0.3">
      <c r="A57">
        <v>56</v>
      </c>
      <c r="B57" t="s">
        <v>56</v>
      </c>
      <c r="C57">
        <v>1</v>
      </c>
      <c r="D57">
        <v>0</v>
      </c>
      <c r="E57">
        <v>1</v>
      </c>
      <c r="F57" t="s">
        <v>2</v>
      </c>
      <c r="G57">
        <v>2</v>
      </c>
      <c r="H57">
        <v>0</v>
      </c>
      <c r="I57" t="s">
        <v>126</v>
      </c>
      <c r="J57">
        <v>3</v>
      </c>
      <c r="K57" t="s">
        <v>124</v>
      </c>
      <c r="L57">
        <v>3</v>
      </c>
      <c r="M57" t="s">
        <v>6</v>
      </c>
      <c r="N57">
        <v>0.22</v>
      </c>
      <c r="O57">
        <v>0.2273</v>
      </c>
      <c r="P57">
        <v>0.69</v>
      </c>
      <c r="Q57">
        <v>0.19400000000000001</v>
      </c>
      <c r="R57">
        <v>3</v>
      </c>
      <c r="S57">
        <v>7</v>
      </c>
      <c r="T57">
        <v>10</v>
      </c>
      <c r="U57" t="b">
        <f t="shared" si="0"/>
        <v>0</v>
      </c>
    </row>
    <row r="58" spans="1:21" x14ac:dyDescent="0.3">
      <c r="A58">
        <v>57</v>
      </c>
      <c r="B58" t="s">
        <v>56</v>
      </c>
      <c r="C58">
        <v>1</v>
      </c>
      <c r="D58">
        <v>0</v>
      </c>
      <c r="E58">
        <v>1</v>
      </c>
      <c r="F58" t="s">
        <v>2</v>
      </c>
      <c r="G58">
        <v>16</v>
      </c>
      <c r="H58">
        <v>1</v>
      </c>
      <c r="I58" t="s">
        <v>126</v>
      </c>
      <c r="J58">
        <v>3</v>
      </c>
      <c r="K58" t="s">
        <v>124</v>
      </c>
      <c r="L58">
        <v>4</v>
      </c>
      <c r="M58" t="s">
        <v>57</v>
      </c>
      <c r="N58">
        <v>0.22</v>
      </c>
      <c r="O58">
        <v>0.19700000000000001</v>
      </c>
      <c r="P58">
        <v>0.93</v>
      </c>
      <c r="Q58">
        <v>0.32840000000000003</v>
      </c>
      <c r="R58">
        <v>1</v>
      </c>
      <c r="S58">
        <v>35</v>
      </c>
      <c r="T58">
        <v>36</v>
      </c>
      <c r="U58" t="b">
        <f t="shared" si="0"/>
        <v>0</v>
      </c>
    </row>
    <row r="59" spans="1:21" x14ac:dyDescent="0.3">
      <c r="A59">
        <v>58</v>
      </c>
      <c r="B59" t="s">
        <v>59</v>
      </c>
      <c r="C59">
        <v>1</v>
      </c>
      <c r="D59">
        <v>0</v>
      </c>
      <c r="E59">
        <v>1</v>
      </c>
      <c r="F59" t="s">
        <v>2</v>
      </c>
      <c r="G59">
        <v>16</v>
      </c>
      <c r="H59">
        <v>1</v>
      </c>
      <c r="I59" t="s">
        <v>126</v>
      </c>
      <c r="J59">
        <v>4</v>
      </c>
      <c r="K59" t="s">
        <v>124</v>
      </c>
      <c r="L59">
        <v>1</v>
      </c>
      <c r="M59" t="s">
        <v>3</v>
      </c>
      <c r="N59">
        <v>0.22</v>
      </c>
      <c r="O59">
        <v>0.2273</v>
      </c>
      <c r="P59">
        <v>0.55000000000000004</v>
      </c>
      <c r="Q59">
        <v>0.19400000000000001</v>
      </c>
      <c r="R59">
        <v>1</v>
      </c>
      <c r="S59">
        <v>23</v>
      </c>
      <c r="T59">
        <v>24</v>
      </c>
      <c r="U59" t="b">
        <f t="shared" si="0"/>
        <v>0</v>
      </c>
    </row>
    <row r="60" spans="1:21" x14ac:dyDescent="0.3">
      <c r="A60">
        <v>59</v>
      </c>
      <c r="B60" t="s">
        <v>61</v>
      </c>
      <c r="C60">
        <v>1</v>
      </c>
      <c r="D60">
        <v>0</v>
      </c>
      <c r="E60">
        <v>1</v>
      </c>
      <c r="F60" t="s">
        <v>2</v>
      </c>
      <c r="G60">
        <v>0</v>
      </c>
      <c r="H60">
        <v>0</v>
      </c>
      <c r="I60" t="s">
        <v>125</v>
      </c>
      <c r="J60">
        <v>5</v>
      </c>
      <c r="K60" t="s">
        <v>124</v>
      </c>
      <c r="L60">
        <v>2</v>
      </c>
      <c r="M60" t="s">
        <v>4</v>
      </c>
      <c r="N60">
        <v>0.2</v>
      </c>
      <c r="O60">
        <v>0.21210000000000001</v>
      </c>
      <c r="P60">
        <v>0.75</v>
      </c>
      <c r="Q60">
        <v>0.1343</v>
      </c>
      <c r="R60">
        <v>0</v>
      </c>
      <c r="S60">
        <v>9</v>
      </c>
      <c r="T60">
        <v>9</v>
      </c>
      <c r="U60" t="b">
        <f t="shared" si="0"/>
        <v>0</v>
      </c>
    </row>
    <row r="61" spans="1:21" x14ac:dyDescent="0.3">
      <c r="A61">
        <v>60</v>
      </c>
      <c r="B61" t="s">
        <v>61</v>
      </c>
      <c r="C61">
        <v>1</v>
      </c>
      <c r="D61">
        <v>0</v>
      </c>
      <c r="E61">
        <v>1</v>
      </c>
      <c r="F61" t="s">
        <v>2</v>
      </c>
      <c r="G61">
        <v>9</v>
      </c>
      <c r="H61">
        <v>0</v>
      </c>
      <c r="I61" t="s">
        <v>125</v>
      </c>
      <c r="J61">
        <v>5</v>
      </c>
      <c r="K61" t="s">
        <v>124</v>
      </c>
      <c r="L61">
        <v>3</v>
      </c>
      <c r="M61" t="s">
        <v>6</v>
      </c>
      <c r="N61">
        <v>0.18</v>
      </c>
      <c r="O61">
        <v>0.21210000000000001</v>
      </c>
      <c r="P61">
        <v>0.86</v>
      </c>
      <c r="Q61">
        <v>8.9599999999999999E-2</v>
      </c>
      <c r="R61">
        <v>6</v>
      </c>
      <c r="S61">
        <v>95</v>
      </c>
      <c r="T61" s="16">
        <v>101</v>
      </c>
      <c r="U61" s="16" t="b">
        <f t="shared" si="0"/>
        <v>1</v>
      </c>
    </row>
    <row r="62" spans="1:21" x14ac:dyDescent="0.3">
      <c r="A62">
        <v>61</v>
      </c>
      <c r="B62" t="s">
        <v>63</v>
      </c>
      <c r="C62">
        <v>1</v>
      </c>
      <c r="D62">
        <v>0</v>
      </c>
      <c r="E62">
        <v>1</v>
      </c>
      <c r="F62" t="s">
        <v>2</v>
      </c>
      <c r="G62">
        <v>1</v>
      </c>
      <c r="H62">
        <v>0</v>
      </c>
      <c r="I62" t="s">
        <v>125</v>
      </c>
      <c r="J62">
        <v>6</v>
      </c>
      <c r="K62" t="s">
        <v>108</v>
      </c>
      <c r="L62">
        <v>1</v>
      </c>
      <c r="M62" t="s">
        <v>3</v>
      </c>
      <c r="N62">
        <v>0.22</v>
      </c>
      <c r="O62">
        <v>0.2273</v>
      </c>
      <c r="P62">
        <v>0.64</v>
      </c>
      <c r="Q62">
        <v>0.19400000000000001</v>
      </c>
      <c r="R62">
        <v>0</v>
      </c>
      <c r="S62">
        <v>20</v>
      </c>
      <c r="T62">
        <v>20</v>
      </c>
      <c r="U62" t="b">
        <f t="shared" si="0"/>
        <v>0</v>
      </c>
    </row>
    <row r="63" spans="1:21" x14ac:dyDescent="0.3">
      <c r="A63">
        <v>62</v>
      </c>
      <c r="B63" t="s">
        <v>63</v>
      </c>
      <c r="C63">
        <v>1</v>
      </c>
      <c r="D63">
        <v>0</v>
      </c>
      <c r="E63">
        <v>1</v>
      </c>
      <c r="F63" t="s">
        <v>2</v>
      </c>
      <c r="G63">
        <v>10</v>
      </c>
      <c r="H63">
        <v>0</v>
      </c>
      <c r="I63" t="s">
        <v>125</v>
      </c>
      <c r="J63">
        <v>6</v>
      </c>
      <c r="K63" t="s">
        <v>108</v>
      </c>
      <c r="L63">
        <v>2</v>
      </c>
      <c r="M63" t="s">
        <v>4</v>
      </c>
      <c r="N63">
        <v>0.18</v>
      </c>
      <c r="O63">
        <v>0.21210000000000001</v>
      </c>
      <c r="P63">
        <v>0.64</v>
      </c>
      <c r="Q63">
        <v>0.1045</v>
      </c>
      <c r="R63">
        <v>4</v>
      </c>
      <c r="S63">
        <v>51</v>
      </c>
      <c r="T63">
        <v>55</v>
      </c>
      <c r="U63" t="b">
        <f t="shared" si="0"/>
        <v>0</v>
      </c>
    </row>
    <row r="64" spans="1:21" x14ac:dyDescent="0.3">
      <c r="A64">
        <v>63</v>
      </c>
      <c r="B64" t="s">
        <v>65</v>
      </c>
      <c r="C64">
        <v>1</v>
      </c>
      <c r="D64">
        <v>0</v>
      </c>
      <c r="E64">
        <v>1</v>
      </c>
      <c r="F64" t="s">
        <v>2</v>
      </c>
      <c r="G64">
        <v>0</v>
      </c>
      <c r="H64">
        <v>0</v>
      </c>
      <c r="I64" t="s">
        <v>125</v>
      </c>
      <c r="J64">
        <v>0</v>
      </c>
      <c r="K64" t="s">
        <v>108</v>
      </c>
      <c r="L64">
        <v>1</v>
      </c>
      <c r="M64" t="s">
        <v>3</v>
      </c>
      <c r="N64">
        <v>0.16</v>
      </c>
      <c r="O64">
        <v>0.18179999999999999</v>
      </c>
      <c r="P64">
        <v>0.8</v>
      </c>
      <c r="Q64">
        <v>0.1045</v>
      </c>
      <c r="R64">
        <v>0</v>
      </c>
      <c r="S64">
        <v>33</v>
      </c>
      <c r="T64">
        <v>33</v>
      </c>
      <c r="U64" t="b">
        <f t="shared" si="0"/>
        <v>0</v>
      </c>
    </row>
    <row r="65" spans="1:21" x14ac:dyDescent="0.3">
      <c r="A65">
        <v>64</v>
      </c>
      <c r="B65" t="s">
        <v>65</v>
      </c>
      <c r="C65">
        <v>1</v>
      </c>
      <c r="D65">
        <v>0</v>
      </c>
      <c r="E65">
        <v>1</v>
      </c>
      <c r="F65" t="s">
        <v>2</v>
      </c>
      <c r="G65">
        <v>8</v>
      </c>
      <c r="H65">
        <v>0</v>
      </c>
      <c r="I65" t="s">
        <v>125</v>
      </c>
      <c r="J65">
        <v>0</v>
      </c>
      <c r="K65" t="s">
        <v>108</v>
      </c>
      <c r="L65">
        <v>2</v>
      </c>
      <c r="M65" t="s">
        <v>4</v>
      </c>
      <c r="N65">
        <v>0.14000000000000001</v>
      </c>
      <c r="O65">
        <v>0.21210000000000001</v>
      </c>
      <c r="P65">
        <v>0.86</v>
      </c>
      <c r="Q65">
        <v>0</v>
      </c>
      <c r="R65">
        <v>1</v>
      </c>
      <c r="S65">
        <v>11</v>
      </c>
      <c r="T65">
        <v>12</v>
      </c>
      <c r="U65" t="b">
        <f t="shared" si="0"/>
        <v>0</v>
      </c>
    </row>
    <row r="66" spans="1:21" x14ac:dyDescent="0.3">
      <c r="A66">
        <v>65</v>
      </c>
      <c r="B66" t="s">
        <v>67</v>
      </c>
      <c r="C66">
        <v>1</v>
      </c>
      <c r="D66">
        <v>0</v>
      </c>
      <c r="E66">
        <v>1</v>
      </c>
      <c r="F66" t="s">
        <v>2</v>
      </c>
      <c r="G66">
        <v>0</v>
      </c>
      <c r="H66">
        <v>0</v>
      </c>
      <c r="I66" t="s">
        <v>126</v>
      </c>
      <c r="J66">
        <v>1</v>
      </c>
      <c r="K66" t="s">
        <v>124</v>
      </c>
      <c r="L66">
        <v>2</v>
      </c>
      <c r="M66" t="s">
        <v>4</v>
      </c>
      <c r="N66">
        <v>0.24</v>
      </c>
      <c r="O66">
        <v>0.2273</v>
      </c>
      <c r="P66">
        <v>0.65</v>
      </c>
      <c r="Q66">
        <v>0.22389999999999999</v>
      </c>
      <c r="R66">
        <v>1</v>
      </c>
      <c r="S66">
        <v>6</v>
      </c>
      <c r="T66">
        <v>7</v>
      </c>
      <c r="U66" t="b">
        <f t="shared" si="0"/>
        <v>0</v>
      </c>
    </row>
    <row r="67" spans="1:21" x14ac:dyDescent="0.3">
      <c r="A67">
        <v>66</v>
      </c>
      <c r="B67" t="s">
        <v>67</v>
      </c>
      <c r="C67">
        <v>1</v>
      </c>
      <c r="D67">
        <v>0</v>
      </c>
      <c r="E67">
        <v>1</v>
      </c>
      <c r="F67" t="s">
        <v>2</v>
      </c>
      <c r="G67">
        <v>1</v>
      </c>
      <c r="H67">
        <v>0</v>
      </c>
      <c r="I67" t="s">
        <v>126</v>
      </c>
      <c r="J67">
        <v>1</v>
      </c>
      <c r="K67" t="s">
        <v>124</v>
      </c>
      <c r="L67">
        <v>1</v>
      </c>
      <c r="M67" t="s">
        <v>3</v>
      </c>
      <c r="N67">
        <v>0.22</v>
      </c>
      <c r="O67">
        <v>0.21210000000000001</v>
      </c>
      <c r="P67">
        <v>0.64</v>
      </c>
      <c r="Q67">
        <v>0.25369999999999998</v>
      </c>
      <c r="R67">
        <v>2</v>
      </c>
      <c r="S67">
        <v>5</v>
      </c>
      <c r="T67">
        <v>7</v>
      </c>
      <c r="U67" t="b">
        <f t="shared" ref="U67:U97" si="1">OR(T67&gt;$Y$2,T67&lt;$Z$2)</f>
        <v>0</v>
      </c>
    </row>
    <row r="68" spans="1:21" x14ac:dyDescent="0.3">
      <c r="A68">
        <v>67</v>
      </c>
      <c r="B68" t="s">
        <v>67</v>
      </c>
      <c r="C68">
        <v>1</v>
      </c>
      <c r="D68">
        <v>0</v>
      </c>
      <c r="E68">
        <v>1</v>
      </c>
      <c r="F68" t="s">
        <v>2</v>
      </c>
      <c r="G68">
        <v>20</v>
      </c>
      <c r="H68">
        <v>1</v>
      </c>
      <c r="I68" t="s">
        <v>126</v>
      </c>
      <c r="J68">
        <v>1</v>
      </c>
      <c r="K68" t="s">
        <v>124</v>
      </c>
      <c r="L68">
        <v>3</v>
      </c>
      <c r="M68" t="s">
        <v>6</v>
      </c>
      <c r="N68">
        <v>0.16</v>
      </c>
      <c r="O68">
        <v>0.16669999999999999</v>
      </c>
      <c r="P68">
        <v>0.59</v>
      </c>
      <c r="Q68">
        <v>0.16420000000000001</v>
      </c>
      <c r="R68">
        <v>0</v>
      </c>
      <c r="S68">
        <v>78</v>
      </c>
      <c r="T68">
        <v>78</v>
      </c>
      <c r="U68" t="b">
        <f t="shared" si="1"/>
        <v>0</v>
      </c>
    </row>
    <row r="69" spans="1:21" x14ac:dyDescent="0.3">
      <c r="A69">
        <v>68</v>
      </c>
      <c r="B69" t="s">
        <v>69</v>
      </c>
      <c r="C69">
        <v>1</v>
      </c>
      <c r="D69">
        <v>0</v>
      </c>
      <c r="E69">
        <v>2</v>
      </c>
      <c r="F69" t="s">
        <v>70</v>
      </c>
      <c r="G69">
        <v>0</v>
      </c>
      <c r="H69">
        <v>0</v>
      </c>
      <c r="I69" t="s">
        <v>126</v>
      </c>
      <c r="J69">
        <v>2</v>
      </c>
      <c r="K69" t="s">
        <v>124</v>
      </c>
      <c r="L69">
        <v>2</v>
      </c>
      <c r="M69" t="s">
        <v>4</v>
      </c>
      <c r="N69">
        <v>0.16</v>
      </c>
      <c r="O69">
        <v>0.18179999999999999</v>
      </c>
      <c r="P69">
        <v>0.64</v>
      </c>
      <c r="Q69">
        <v>0.1045</v>
      </c>
      <c r="R69">
        <v>2</v>
      </c>
      <c r="S69">
        <v>6</v>
      </c>
      <c r="T69">
        <v>8</v>
      </c>
      <c r="U69" t="b">
        <f t="shared" si="1"/>
        <v>0</v>
      </c>
    </row>
    <row r="70" spans="1:21" x14ac:dyDescent="0.3">
      <c r="A70">
        <v>69</v>
      </c>
      <c r="B70" t="s">
        <v>69</v>
      </c>
      <c r="C70">
        <v>1</v>
      </c>
      <c r="D70">
        <v>0</v>
      </c>
      <c r="E70">
        <v>2</v>
      </c>
      <c r="F70" t="s">
        <v>70</v>
      </c>
      <c r="G70">
        <v>5</v>
      </c>
      <c r="H70">
        <v>0</v>
      </c>
      <c r="I70" t="s">
        <v>126</v>
      </c>
      <c r="J70">
        <v>2</v>
      </c>
      <c r="K70" t="s">
        <v>124</v>
      </c>
      <c r="L70">
        <v>3</v>
      </c>
      <c r="M70" t="s">
        <v>6</v>
      </c>
      <c r="N70">
        <v>0.14000000000000001</v>
      </c>
      <c r="O70">
        <v>0.21210000000000001</v>
      </c>
      <c r="P70">
        <v>0.93</v>
      </c>
      <c r="Q70">
        <v>0</v>
      </c>
      <c r="R70">
        <v>0</v>
      </c>
      <c r="S70">
        <v>3</v>
      </c>
      <c r="T70">
        <v>3</v>
      </c>
      <c r="U70" t="b">
        <f t="shared" si="1"/>
        <v>0</v>
      </c>
    </row>
    <row r="71" spans="1:21" x14ac:dyDescent="0.3">
      <c r="A71">
        <v>70</v>
      </c>
      <c r="B71" t="s">
        <v>72</v>
      </c>
      <c r="C71">
        <v>1</v>
      </c>
      <c r="D71">
        <v>0</v>
      </c>
      <c r="E71">
        <v>2</v>
      </c>
      <c r="F71" t="s">
        <v>70</v>
      </c>
      <c r="G71">
        <v>0</v>
      </c>
      <c r="H71">
        <v>0</v>
      </c>
      <c r="I71" t="s">
        <v>126</v>
      </c>
      <c r="J71">
        <v>3</v>
      </c>
      <c r="K71" t="s">
        <v>124</v>
      </c>
      <c r="L71">
        <v>3</v>
      </c>
      <c r="M71" t="s">
        <v>6</v>
      </c>
      <c r="N71">
        <v>0.22</v>
      </c>
      <c r="O71">
        <v>0.2424</v>
      </c>
      <c r="P71">
        <v>0.93</v>
      </c>
      <c r="Q71">
        <v>0.1045</v>
      </c>
      <c r="R71">
        <v>0</v>
      </c>
      <c r="S71">
        <v>2</v>
      </c>
      <c r="T71">
        <v>2</v>
      </c>
      <c r="U71" t="b">
        <f t="shared" si="1"/>
        <v>0</v>
      </c>
    </row>
    <row r="72" spans="1:21" x14ac:dyDescent="0.3">
      <c r="A72">
        <v>71</v>
      </c>
      <c r="B72" t="s">
        <v>72</v>
      </c>
      <c r="C72">
        <v>1</v>
      </c>
      <c r="D72">
        <v>0</v>
      </c>
      <c r="E72">
        <v>2</v>
      </c>
      <c r="F72" t="s">
        <v>70</v>
      </c>
      <c r="G72">
        <v>9</v>
      </c>
      <c r="H72">
        <v>0</v>
      </c>
      <c r="I72" t="s">
        <v>126</v>
      </c>
      <c r="J72">
        <v>3</v>
      </c>
      <c r="K72" t="s">
        <v>124</v>
      </c>
      <c r="L72">
        <v>2</v>
      </c>
      <c r="M72" t="s">
        <v>4</v>
      </c>
      <c r="N72">
        <v>0.24</v>
      </c>
      <c r="O72">
        <v>0.2576</v>
      </c>
      <c r="P72">
        <v>0.93</v>
      </c>
      <c r="Q72">
        <v>8.9599999999999999E-2</v>
      </c>
      <c r="R72">
        <v>4</v>
      </c>
      <c r="S72">
        <v>119</v>
      </c>
      <c r="T72" s="16">
        <v>123</v>
      </c>
      <c r="U72" s="16" t="b">
        <f t="shared" si="1"/>
        <v>1</v>
      </c>
    </row>
    <row r="73" spans="1:21" x14ac:dyDescent="0.3">
      <c r="A73">
        <v>72</v>
      </c>
      <c r="B73" t="s">
        <v>72</v>
      </c>
      <c r="C73">
        <v>1</v>
      </c>
      <c r="D73">
        <v>0</v>
      </c>
      <c r="E73">
        <v>2</v>
      </c>
      <c r="F73" t="s">
        <v>70</v>
      </c>
      <c r="G73">
        <v>13</v>
      </c>
      <c r="H73">
        <v>1</v>
      </c>
      <c r="I73" t="s">
        <v>126</v>
      </c>
      <c r="J73">
        <v>3</v>
      </c>
      <c r="K73" t="s">
        <v>124</v>
      </c>
      <c r="L73">
        <v>1</v>
      </c>
      <c r="M73" t="s">
        <v>3</v>
      </c>
      <c r="N73">
        <v>0.34</v>
      </c>
      <c r="O73">
        <v>0.33329999999999999</v>
      </c>
      <c r="P73">
        <v>0.93</v>
      </c>
      <c r="Q73">
        <v>0.16420000000000001</v>
      </c>
      <c r="R73">
        <v>1</v>
      </c>
      <c r="S73">
        <v>74</v>
      </c>
      <c r="T73">
        <v>75</v>
      </c>
      <c r="U73" t="b">
        <f t="shared" si="1"/>
        <v>0</v>
      </c>
    </row>
    <row r="74" spans="1:21" x14ac:dyDescent="0.3">
      <c r="A74">
        <v>73</v>
      </c>
      <c r="B74" t="s">
        <v>74</v>
      </c>
      <c r="C74">
        <v>1</v>
      </c>
      <c r="D74">
        <v>0</v>
      </c>
      <c r="E74">
        <v>2</v>
      </c>
      <c r="F74" t="s">
        <v>70</v>
      </c>
      <c r="G74">
        <v>0</v>
      </c>
      <c r="H74">
        <v>0</v>
      </c>
      <c r="I74" t="s">
        <v>126</v>
      </c>
      <c r="J74">
        <v>4</v>
      </c>
      <c r="K74" t="s">
        <v>124</v>
      </c>
      <c r="L74">
        <v>1</v>
      </c>
      <c r="M74" t="s">
        <v>3</v>
      </c>
      <c r="N74">
        <v>0.2</v>
      </c>
      <c r="O74">
        <v>0.16669999999999999</v>
      </c>
      <c r="P74">
        <v>0.4</v>
      </c>
      <c r="Q74">
        <v>0.44779999999999998</v>
      </c>
      <c r="R74">
        <v>1</v>
      </c>
      <c r="S74">
        <v>11</v>
      </c>
      <c r="T74">
        <v>12</v>
      </c>
      <c r="U74" t="b">
        <f t="shared" si="1"/>
        <v>0</v>
      </c>
    </row>
    <row r="75" spans="1:21" x14ac:dyDescent="0.3">
      <c r="A75">
        <v>74</v>
      </c>
      <c r="B75" t="s">
        <v>76</v>
      </c>
      <c r="C75">
        <v>1</v>
      </c>
      <c r="D75">
        <v>0</v>
      </c>
      <c r="E75">
        <v>2</v>
      </c>
      <c r="F75" t="s">
        <v>70</v>
      </c>
      <c r="G75">
        <v>0</v>
      </c>
      <c r="H75">
        <v>0</v>
      </c>
      <c r="I75" t="s">
        <v>125</v>
      </c>
      <c r="J75">
        <v>5</v>
      </c>
      <c r="K75" t="s">
        <v>124</v>
      </c>
      <c r="L75">
        <v>2</v>
      </c>
      <c r="M75" t="s">
        <v>4</v>
      </c>
      <c r="N75">
        <v>0.2</v>
      </c>
      <c r="O75">
        <v>0.2576</v>
      </c>
      <c r="P75">
        <v>0.44</v>
      </c>
      <c r="Q75">
        <v>0</v>
      </c>
      <c r="R75">
        <v>3</v>
      </c>
      <c r="S75">
        <v>10</v>
      </c>
      <c r="T75">
        <v>13</v>
      </c>
      <c r="U75" t="b">
        <f t="shared" si="1"/>
        <v>0</v>
      </c>
    </row>
    <row r="76" spans="1:21" x14ac:dyDescent="0.3">
      <c r="A76">
        <v>75</v>
      </c>
      <c r="B76" t="s">
        <v>76</v>
      </c>
      <c r="C76">
        <v>1</v>
      </c>
      <c r="D76">
        <v>0</v>
      </c>
      <c r="E76">
        <v>2</v>
      </c>
      <c r="F76" t="s">
        <v>70</v>
      </c>
      <c r="G76">
        <v>7</v>
      </c>
      <c r="H76">
        <v>0</v>
      </c>
      <c r="I76" t="s">
        <v>125</v>
      </c>
      <c r="J76">
        <v>5</v>
      </c>
      <c r="K76" t="s">
        <v>124</v>
      </c>
      <c r="L76">
        <v>1</v>
      </c>
      <c r="M76" t="s">
        <v>3</v>
      </c>
      <c r="N76">
        <v>0.14000000000000001</v>
      </c>
      <c r="O76">
        <v>0.21210000000000001</v>
      </c>
      <c r="P76">
        <v>0.59</v>
      </c>
      <c r="Q76">
        <v>0</v>
      </c>
      <c r="R76">
        <v>0</v>
      </c>
      <c r="S76">
        <v>87</v>
      </c>
      <c r="T76">
        <v>87</v>
      </c>
      <c r="U76" t="b">
        <f t="shared" si="1"/>
        <v>0</v>
      </c>
    </row>
    <row r="77" spans="1:21" x14ac:dyDescent="0.3">
      <c r="A77">
        <v>76</v>
      </c>
      <c r="B77" t="s">
        <v>78</v>
      </c>
      <c r="C77">
        <v>1</v>
      </c>
      <c r="D77">
        <v>0</v>
      </c>
      <c r="E77">
        <v>2</v>
      </c>
      <c r="F77" t="s">
        <v>70</v>
      </c>
      <c r="G77">
        <v>0</v>
      </c>
      <c r="H77">
        <v>0</v>
      </c>
      <c r="I77" t="s">
        <v>125</v>
      </c>
      <c r="J77">
        <v>6</v>
      </c>
      <c r="K77" t="s">
        <v>108</v>
      </c>
      <c r="L77">
        <v>2</v>
      </c>
      <c r="M77" t="s">
        <v>4</v>
      </c>
      <c r="N77">
        <v>0.24</v>
      </c>
      <c r="O77">
        <v>0.2424</v>
      </c>
      <c r="P77">
        <v>0.7</v>
      </c>
      <c r="Q77">
        <v>0.16420000000000001</v>
      </c>
      <c r="R77">
        <v>3</v>
      </c>
      <c r="S77">
        <v>36</v>
      </c>
      <c r="T77">
        <v>39</v>
      </c>
      <c r="U77" t="b">
        <f t="shared" si="1"/>
        <v>0</v>
      </c>
    </row>
    <row r="78" spans="1:21" x14ac:dyDescent="0.3">
      <c r="A78">
        <v>77</v>
      </c>
      <c r="B78" t="s">
        <v>78</v>
      </c>
      <c r="C78">
        <v>1</v>
      </c>
      <c r="D78">
        <v>0</v>
      </c>
      <c r="E78">
        <v>2</v>
      </c>
      <c r="F78" t="s">
        <v>70</v>
      </c>
      <c r="G78">
        <v>4</v>
      </c>
      <c r="H78">
        <v>0</v>
      </c>
      <c r="I78" t="s">
        <v>125</v>
      </c>
      <c r="J78">
        <v>6</v>
      </c>
      <c r="K78" t="s">
        <v>108</v>
      </c>
      <c r="L78">
        <v>3</v>
      </c>
      <c r="M78" t="s">
        <v>6</v>
      </c>
      <c r="N78">
        <v>0.22</v>
      </c>
      <c r="O78">
        <v>0.2273</v>
      </c>
      <c r="P78">
        <v>0.93</v>
      </c>
      <c r="Q78">
        <v>0.1343</v>
      </c>
      <c r="R78">
        <v>0</v>
      </c>
      <c r="S78">
        <v>8</v>
      </c>
      <c r="T78">
        <v>8</v>
      </c>
      <c r="U78" t="b">
        <f t="shared" si="1"/>
        <v>0</v>
      </c>
    </row>
    <row r="79" spans="1:21" x14ac:dyDescent="0.3">
      <c r="A79">
        <v>78</v>
      </c>
      <c r="B79" t="s">
        <v>78</v>
      </c>
      <c r="C79">
        <v>1</v>
      </c>
      <c r="D79">
        <v>0</v>
      </c>
      <c r="E79">
        <v>2</v>
      </c>
      <c r="F79" t="s">
        <v>70</v>
      </c>
      <c r="G79">
        <v>20</v>
      </c>
      <c r="H79">
        <v>1</v>
      </c>
      <c r="I79" t="s">
        <v>125</v>
      </c>
      <c r="J79">
        <v>6</v>
      </c>
      <c r="K79" t="s">
        <v>108</v>
      </c>
      <c r="L79">
        <v>1</v>
      </c>
      <c r="M79" t="s">
        <v>3</v>
      </c>
      <c r="N79">
        <v>0.3</v>
      </c>
      <c r="O79">
        <v>0.28789999999999999</v>
      </c>
      <c r="P79">
        <v>0.87</v>
      </c>
      <c r="Q79">
        <v>0.25369999999999998</v>
      </c>
      <c r="R79">
        <v>5</v>
      </c>
      <c r="S79">
        <v>64</v>
      </c>
      <c r="T79">
        <v>69</v>
      </c>
      <c r="U79" t="b">
        <f t="shared" si="1"/>
        <v>0</v>
      </c>
    </row>
    <row r="80" spans="1:21" x14ac:dyDescent="0.3">
      <c r="A80">
        <v>79</v>
      </c>
      <c r="B80" t="s">
        <v>80</v>
      </c>
      <c r="C80">
        <v>1</v>
      </c>
      <c r="D80">
        <v>0</v>
      </c>
      <c r="E80">
        <v>2</v>
      </c>
      <c r="F80" t="s">
        <v>70</v>
      </c>
      <c r="G80">
        <v>0</v>
      </c>
      <c r="H80">
        <v>0</v>
      </c>
      <c r="I80" t="s">
        <v>125</v>
      </c>
      <c r="J80">
        <v>0</v>
      </c>
      <c r="K80" t="s">
        <v>108</v>
      </c>
      <c r="L80">
        <v>1</v>
      </c>
      <c r="M80" t="s">
        <v>3</v>
      </c>
      <c r="N80">
        <v>0.26</v>
      </c>
      <c r="O80">
        <v>0.2576</v>
      </c>
      <c r="P80">
        <v>0.7</v>
      </c>
      <c r="Q80">
        <v>0.19400000000000001</v>
      </c>
      <c r="R80">
        <v>2</v>
      </c>
      <c r="S80">
        <v>37</v>
      </c>
      <c r="T80">
        <v>39</v>
      </c>
      <c r="U80" t="b">
        <f t="shared" si="1"/>
        <v>0</v>
      </c>
    </row>
    <row r="81" spans="1:21" x14ac:dyDescent="0.3">
      <c r="A81">
        <v>80</v>
      </c>
      <c r="B81" t="s">
        <v>82</v>
      </c>
      <c r="C81">
        <v>1</v>
      </c>
      <c r="D81">
        <v>0</v>
      </c>
      <c r="E81">
        <v>2</v>
      </c>
      <c r="F81" t="s">
        <v>70</v>
      </c>
      <c r="G81">
        <v>0</v>
      </c>
      <c r="H81">
        <v>0</v>
      </c>
      <c r="I81" t="s">
        <v>125</v>
      </c>
      <c r="J81">
        <v>1</v>
      </c>
      <c r="K81" t="s">
        <v>124</v>
      </c>
      <c r="L81">
        <v>1</v>
      </c>
      <c r="M81" t="s">
        <v>3</v>
      </c>
      <c r="N81">
        <v>0.24</v>
      </c>
      <c r="O81">
        <v>0.28789999999999999</v>
      </c>
      <c r="P81">
        <v>0.65</v>
      </c>
      <c r="Q81">
        <v>0</v>
      </c>
      <c r="R81">
        <v>1</v>
      </c>
      <c r="S81">
        <v>14</v>
      </c>
      <c r="T81">
        <v>15</v>
      </c>
      <c r="U81" t="b">
        <f t="shared" si="1"/>
        <v>0</v>
      </c>
    </row>
    <row r="82" spans="1:21" x14ac:dyDescent="0.3">
      <c r="A82">
        <v>81</v>
      </c>
      <c r="B82" t="s">
        <v>82</v>
      </c>
      <c r="C82">
        <v>1</v>
      </c>
      <c r="D82">
        <v>0</v>
      </c>
      <c r="E82">
        <v>2</v>
      </c>
      <c r="F82" t="s">
        <v>70</v>
      </c>
      <c r="G82">
        <v>8</v>
      </c>
      <c r="H82">
        <v>0</v>
      </c>
      <c r="I82" t="s">
        <v>126</v>
      </c>
      <c r="J82">
        <v>1</v>
      </c>
      <c r="K82" t="s">
        <v>124</v>
      </c>
      <c r="L82">
        <v>2</v>
      </c>
      <c r="M82" t="s">
        <v>4</v>
      </c>
      <c r="N82">
        <v>0.16</v>
      </c>
      <c r="O82">
        <v>0.2273</v>
      </c>
      <c r="P82">
        <v>1</v>
      </c>
      <c r="Q82">
        <v>0</v>
      </c>
      <c r="R82">
        <v>7</v>
      </c>
      <c r="S82">
        <v>223</v>
      </c>
      <c r="T82" s="16">
        <v>230</v>
      </c>
      <c r="U82" s="16" t="b">
        <f t="shared" si="1"/>
        <v>1</v>
      </c>
    </row>
    <row r="83" spans="1:21" x14ac:dyDescent="0.3">
      <c r="A83">
        <v>82</v>
      </c>
      <c r="B83" t="s">
        <v>84</v>
      </c>
      <c r="C83">
        <v>1</v>
      </c>
      <c r="D83">
        <v>0</v>
      </c>
      <c r="E83">
        <v>2</v>
      </c>
      <c r="F83" t="s">
        <v>70</v>
      </c>
      <c r="G83">
        <v>0</v>
      </c>
      <c r="H83">
        <v>0</v>
      </c>
      <c r="I83" t="s">
        <v>126</v>
      </c>
      <c r="J83">
        <v>2</v>
      </c>
      <c r="K83" t="s">
        <v>124</v>
      </c>
      <c r="L83">
        <v>2</v>
      </c>
      <c r="M83" t="s">
        <v>4</v>
      </c>
      <c r="N83">
        <v>0.28000000000000003</v>
      </c>
      <c r="O83">
        <v>0.31819999999999998</v>
      </c>
      <c r="P83">
        <v>0.87</v>
      </c>
      <c r="Q83">
        <v>0</v>
      </c>
      <c r="R83">
        <v>4</v>
      </c>
      <c r="S83">
        <v>6</v>
      </c>
      <c r="T83">
        <v>10</v>
      </c>
      <c r="U83" t="b">
        <f t="shared" si="1"/>
        <v>0</v>
      </c>
    </row>
    <row r="84" spans="1:21" x14ac:dyDescent="0.3">
      <c r="A84">
        <v>83</v>
      </c>
      <c r="B84" t="s">
        <v>84</v>
      </c>
      <c r="C84">
        <v>1</v>
      </c>
      <c r="D84">
        <v>0</v>
      </c>
      <c r="E84">
        <v>2</v>
      </c>
      <c r="F84" t="s">
        <v>70</v>
      </c>
      <c r="G84">
        <v>3</v>
      </c>
      <c r="H84">
        <v>0</v>
      </c>
      <c r="I84" t="s">
        <v>126</v>
      </c>
      <c r="J84">
        <v>2</v>
      </c>
      <c r="K84" t="s">
        <v>124</v>
      </c>
      <c r="L84">
        <v>3</v>
      </c>
      <c r="M84" t="s">
        <v>6</v>
      </c>
      <c r="N84">
        <v>0.28000000000000003</v>
      </c>
      <c r="O84">
        <v>0.2727</v>
      </c>
      <c r="P84">
        <v>0.93</v>
      </c>
      <c r="Q84">
        <v>0.16420000000000001</v>
      </c>
      <c r="R84">
        <v>0</v>
      </c>
      <c r="S84">
        <v>1</v>
      </c>
      <c r="T84">
        <v>1</v>
      </c>
      <c r="U84" t="b">
        <f t="shared" si="1"/>
        <v>0</v>
      </c>
    </row>
    <row r="85" spans="1:21" x14ac:dyDescent="0.3">
      <c r="A85">
        <v>84</v>
      </c>
      <c r="B85" t="s">
        <v>84</v>
      </c>
      <c r="C85">
        <v>1</v>
      </c>
      <c r="D85">
        <v>0</v>
      </c>
      <c r="E85">
        <v>2</v>
      </c>
      <c r="F85" t="s">
        <v>70</v>
      </c>
      <c r="G85">
        <v>4</v>
      </c>
      <c r="H85">
        <v>0</v>
      </c>
      <c r="I85" t="s">
        <v>126</v>
      </c>
      <c r="J85">
        <v>2</v>
      </c>
      <c r="K85" t="s">
        <v>124</v>
      </c>
      <c r="L85">
        <v>1</v>
      </c>
      <c r="M85" t="s">
        <v>3</v>
      </c>
      <c r="N85">
        <v>0.26</v>
      </c>
      <c r="O85">
        <v>0.2576</v>
      </c>
      <c r="P85">
        <v>0.93</v>
      </c>
      <c r="Q85">
        <v>0.16420000000000001</v>
      </c>
      <c r="R85">
        <v>0</v>
      </c>
      <c r="S85">
        <v>3</v>
      </c>
      <c r="T85">
        <v>3</v>
      </c>
      <c r="U85" t="b">
        <f t="shared" si="1"/>
        <v>0</v>
      </c>
    </row>
    <row r="86" spans="1:21" x14ac:dyDescent="0.3">
      <c r="A86">
        <v>85</v>
      </c>
      <c r="B86" t="s">
        <v>86</v>
      </c>
      <c r="C86">
        <v>1</v>
      </c>
      <c r="D86">
        <v>0</v>
      </c>
      <c r="E86">
        <v>2</v>
      </c>
      <c r="F86" t="s">
        <v>70</v>
      </c>
      <c r="G86">
        <v>0</v>
      </c>
      <c r="H86">
        <v>0</v>
      </c>
      <c r="I86" t="s">
        <v>126</v>
      </c>
      <c r="J86">
        <v>3</v>
      </c>
      <c r="K86" t="s">
        <v>124</v>
      </c>
      <c r="L86">
        <v>1</v>
      </c>
      <c r="M86" t="s">
        <v>3</v>
      </c>
      <c r="N86">
        <v>0.1</v>
      </c>
      <c r="O86">
        <v>7.5800000000000006E-2</v>
      </c>
      <c r="P86">
        <v>0.36</v>
      </c>
      <c r="Q86">
        <v>0.35820000000000002</v>
      </c>
      <c r="R86">
        <v>0</v>
      </c>
      <c r="S86">
        <v>17</v>
      </c>
      <c r="T86">
        <v>17</v>
      </c>
      <c r="U86" t="b">
        <f t="shared" si="1"/>
        <v>0</v>
      </c>
    </row>
    <row r="87" spans="1:21" x14ac:dyDescent="0.3">
      <c r="A87">
        <v>86</v>
      </c>
      <c r="B87" t="s">
        <v>86</v>
      </c>
      <c r="C87">
        <v>1</v>
      </c>
      <c r="D87">
        <v>0</v>
      </c>
      <c r="E87">
        <v>2</v>
      </c>
      <c r="F87" t="s">
        <v>70</v>
      </c>
      <c r="G87">
        <v>11</v>
      </c>
      <c r="H87">
        <v>1</v>
      </c>
      <c r="I87" t="s">
        <v>126</v>
      </c>
      <c r="J87">
        <v>3</v>
      </c>
      <c r="K87" t="s">
        <v>124</v>
      </c>
      <c r="L87">
        <v>2</v>
      </c>
      <c r="M87" t="s">
        <v>4</v>
      </c>
      <c r="N87">
        <v>0.14000000000000001</v>
      </c>
      <c r="O87">
        <v>0.1515</v>
      </c>
      <c r="P87">
        <v>0.43</v>
      </c>
      <c r="Q87">
        <v>0.16420000000000001</v>
      </c>
      <c r="R87">
        <v>1</v>
      </c>
      <c r="S87">
        <v>40</v>
      </c>
      <c r="T87">
        <v>41</v>
      </c>
      <c r="U87" t="b">
        <f t="shared" si="1"/>
        <v>0</v>
      </c>
    </row>
    <row r="88" spans="1:21" x14ac:dyDescent="0.3">
      <c r="A88">
        <v>87</v>
      </c>
      <c r="B88" t="s">
        <v>86</v>
      </c>
      <c r="C88">
        <v>1</v>
      </c>
      <c r="D88">
        <v>0</v>
      </c>
      <c r="E88">
        <v>2</v>
      </c>
      <c r="F88" t="s">
        <v>70</v>
      </c>
      <c r="G88">
        <v>19</v>
      </c>
      <c r="H88">
        <v>1</v>
      </c>
      <c r="I88" t="s">
        <v>126</v>
      </c>
      <c r="J88">
        <v>3</v>
      </c>
      <c r="K88" t="s">
        <v>124</v>
      </c>
      <c r="L88">
        <v>3</v>
      </c>
      <c r="M88" t="s">
        <v>6</v>
      </c>
      <c r="N88">
        <v>0.14000000000000001</v>
      </c>
      <c r="O88">
        <v>0.1212</v>
      </c>
      <c r="P88">
        <v>0.86</v>
      </c>
      <c r="Q88">
        <v>0.25369999999999998</v>
      </c>
      <c r="R88">
        <v>1</v>
      </c>
      <c r="S88">
        <v>87</v>
      </c>
      <c r="T88" s="16">
        <v>88</v>
      </c>
      <c r="U88" s="16" t="b">
        <f t="shared" si="1"/>
        <v>1</v>
      </c>
    </row>
    <row r="89" spans="1:21" x14ac:dyDescent="0.3">
      <c r="A89">
        <v>88</v>
      </c>
      <c r="B89" t="s">
        <v>88</v>
      </c>
      <c r="C89">
        <v>1</v>
      </c>
      <c r="D89">
        <v>0</v>
      </c>
      <c r="E89">
        <v>2</v>
      </c>
      <c r="F89" t="s">
        <v>70</v>
      </c>
      <c r="G89">
        <v>0</v>
      </c>
      <c r="H89">
        <v>0</v>
      </c>
      <c r="I89" t="s">
        <v>126</v>
      </c>
      <c r="J89">
        <v>4</v>
      </c>
      <c r="K89" t="s">
        <v>124</v>
      </c>
      <c r="L89">
        <v>3</v>
      </c>
      <c r="M89" t="s">
        <v>6</v>
      </c>
      <c r="N89">
        <v>0.14000000000000001</v>
      </c>
      <c r="O89">
        <v>0.13639999999999999</v>
      </c>
      <c r="P89">
        <v>0.86</v>
      </c>
      <c r="Q89">
        <v>0.19400000000000001</v>
      </c>
      <c r="R89">
        <v>0</v>
      </c>
      <c r="S89">
        <v>16</v>
      </c>
      <c r="T89">
        <v>16</v>
      </c>
      <c r="U89" t="b">
        <f t="shared" si="1"/>
        <v>0</v>
      </c>
    </row>
    <row r="90" spans="1:21" x14ac:dyDescent="0.3">
      <c r="A90">
        <v>89</v>
      </c>
      <c r="B90" t="s">
        <v>88</v>
      </c>
      <c r="C90">
        <v>1</v>
      </c>
      <c r="D90">
        <v>0</v>
      </c>
      <c r="E90">
        <v>2</v>
      </c>
      <c r="F90" t="s">
        <v>70</v>
      </c>
      <c r="G90">
        <v>4</v>
      </c>
      <c r="H90">
        <v>0</v>
      </c>
      <c r="I90" t="s">
        <v>126</v>
      </c>
      <c r="J90">
        <v>4</v>
      </c>
      <c r="K90" t="s">
        <v>124</v>
      </c>
      <c r="L90">
        <v>2</v>
      </c>
      <c r="M90" t="s">
        <v>4</v>
      </c>
      <c r="N90">
        <v>0.14000000000000001</v>
      </c>
      <c r="O90">
        <v>0.13639999999999999</v>
      </c>
      <c r="P90">
        <v>0.59</v>
      </c>
      <c r="Q90">
        <v>0.22389999999999999</v>
      </c>
      <c r="R90">
        <v>0</v>
      </c>
      <c r="S90">
        <v>1</v>
      </c>
      <c r="T90">
        <v>1</v>
      </c>
      <c r="U90" t="b">
        <f t="shared" si="1"/>
        <v>0</v>
      </c>
    </row>
    <row r="91" spans="1:21" x14ac:dyDescent="0.3">
      <c r="A91">
        <v>90</v>
      </c>
      <c r="B91" t="s">
        <v>88</v>
      </c>
      <c r="C91">
        <v>1</v>
      </c>
      <c r="D91">
        <v>0</v>
      </c>
      <c r="E91">
        <v>2</v>
      </c>
      <c r="F91" t="s">
        <v>70</v>
      </c>
      <c r="G91">
        <v>7</v>
      </c>
      <c r="H91">
        <v>0</v>
      </c>
      <c r="I91" t="s">
        <v>126</v>
      </c>
      <c r="J91">
        <v>4</v>
      </c>
      <c r="K91" t="s">
        <v>124</v>
      </c>
      <c r="L91">
        <v>1</v>
      </c>
      <c r="M91" t="s">
        <v>3</v>
      </c>
      <c r="N91">
        <v>0.1</v>
      </c>
      <c r="O91">
        <v>7.5800000000000006E-2</v>
      </c>
      <c r="P91">
        <v>0.5</v>
      </c>
      <c r="Q91">
        <v>0.41789999999999999</v>
      </c>
      <c r="R91">
        <v>0</v>
      </c>
      <c r="S91">
        <v>99</v>
      </c>
      <c r="T91" s="16">
        <v>99</v>
      </c>
      <c r="U91" s="16" t="b">
        <f t="shared" si="1"/>
        <v>1</v>
      </c>
    </row>
    <row r="92" spans="1:21" x14ac:dyDescent="0.3">
      <c r="A92">
        <v>91</v>
      </c>
      <c r="B92" t="s">
        <v>90</v>
      </c>
      <c r="C92">
        <v>1</v>
      </c>
      <c r="D92">
        <v>0</v>
      </c>
      <c r="E92">
        <v>2</v>
      </c>
      <c r="F92" t="s">
        <v>70</v>
      </c>
      <c r="G92">
        <v>0</v>
      </c>
      <c r="H92">
        <v>0</v>
      </c>
      <c r="I92" t="s">
        <v>125</v>
      </c>
      <c r="J92">
        <v>5</v>
      </c>
      <c r="K92" t="s">
        <v>124</v>
      </c>
      <c r="L92">
        <v>1</v>
      </c>
      <c r="M92" t="s">
        <v>3</v>
      </c>
      <c r="N92">
        <v>0.1</v>
      </c>
      <c r="O92">
        <v>0.13639999999999999</v>
      </c>
      <c r="P92">
        <v>0.49</v>
      </c>
      <c r="Q92">
        <v>0.1045</v>
      </c>
      <c r="R92">
        <v>2</v>
      </c>
      <c r="S92">
        <v>12</v>
      </c>
      <c r="T92">
        <v>14</v>
      </c>
      <c r="U92" t="b">
        <f t="shared" si="1"/>
        <v>0</v>
      </c>
    </row>
    <row r="93" spans="1:21" x14ac:dyDescent="0.3">
      <c r="A93">
        <v>92</v>
      </c>
      <c r="B93" t="s">
        <v>92</v>
      </c>
      <c r="C93">
        <v>1</v>
      </c>
      <c r="D93">
        <v>0</v>
      </c>
      <c r="E93">
        <v>2</v>
      </c>
      <c r="F93" t="s">
        <v>70</v>
      </c>
      <c r="G93">
        <v>0</v>
      </c>
      <c r="H93">
        <v>0</v>
      </c>
      <c r="I93" t="s">
        <v>125</v>
      </c>
      <c r="J93">
        <v>6</v>
      </c>
      <c r="K93" t="s">
        <v>108</v>
      </c>
      <c r="L93">
        <v>1</v>
      </c>
      <c r="M93" t="s">
        <v>3</v>
      </c>
      <c r="N93">
        <v>0.16</v>
      </c>
      <c r="O93">
        <v>0.19700000000000001</v>
      </c>
      <c r="P93">
        <v>0.69</v>
      </c>
      <c r="Q93">
        <v>8.9599999999999999E-2</v>
      </c>
      <c r="R93">
        <v>3</v>
      </c>
      <c r="S93">
        <v>27</v>
      </c>
      <c r="T93">
        <v>30</v>
      </c>
      <c r="U93" t="b">
        <f t="shared" si="1"/>
        <v>0</v>
      </c>
    </row>
    <row r="94" spans="1:21" x14ac:dyDescent="0.3">
      <c r="A94">
        <v>93</v>
      </c>
      <c r="B94" t="s">
        <v>94</v>
      </c>
      <c r="C94">
        <v>1</v>
      </c>
      <c r="D94">
        <v>0</v>
      </c>
      <c r="E94">
        <v>2</v>
      </c>
      <c r="F94" t="s">
        <v>70</v>
      </c>
      <c r="G94">
        <v>0</v>
      </c>
      <c r="H94">
        <v>0</v>
      </c>
      <c r="I94" t="s">
        <v>125</v>
      </c>
      <c r="J94">
        <v>0</v>
      </c>
      <c r="K94" t="s">
        <v>108</v>
      </c>
      <c r="L94">
        <v>1</v>
      </c>
      <c r="M94" t="s">
        <v>3</v>
      </c>
      <c r="N94">
        <v>0.2</v>
      </c>
      <c r="O94">
        <v>0.2273</v>
      </c>
      <c r="P94">
        <v>0.64</v>
      </c>
      <c r="Q94">
        <v>0.1045</v>
      </c>
      <c r="R94">
        <v>5</v>
      </c>
      <c r="S94">
        <v>34</v>
      </c>
      <c r="T94">
        <v>39</v>
      </c>
      <c r="U94" t="b">
        <f t="shared" si="1"/>
        <v>0</v>
      </c>
    </row>
    <row r="95" spans="1:21" x14ac:dyDescent="0.3">
      <c r="A95">
        <v>94</v>
      </c>
      <c r="B95" t="s">
        <v>94</v>
      </c>
      <c r="C95">
        <v>1</v>
      </c>
      <c r="D95">
        <v>0</v>
      </c>
      <c r="E95">
        <v>2</v>
      </c>
      <c r="F95" t="s">
        <v>70</v>
      </c>
      <c r="G95">
        <v>2</v>
      </c>
      <c r="H95">
        <v>0</v>
      </c>
      <c r="I95" t="s">
        <v>125</v>
      </c>
      <c r="J95">
        <v>0</v>
      </c>
      <c r="K95" t="s">
        <v>108</v>
      </c>
      <c r="L95">
        <v>2</v>
      </c>
      <c r="M95" t="s">
        <v>4</v>
      </c>
      <c r="N95">
        <v>0.2</v>
      </c>
      <c r="O95">
        <v>0.2273</v>
      </c>
      <c r="P95">
        <v>0.75</v>
      </c>
      <c r="Q95">
        <v>8.9599999999999999E-2</v>
      </c>
      <c r="R95">
        <v>1</v>
      </c>
      <c r="S95">
        <v>19</v>
      </c>
      <c r="T95">
        <v>20</v>
      </c>
      <c r="U95" t="b">
        <f t="shared" si="1"/>
        <v>0</v>
      </c>
    </row>
    <row r="96" spans="1:21" x14ac:dyDescent="0.3">
      <c r="A96">
        <v>95</v>
      </c>
      <c r="B96" t="s">
        <v>96</v>
      </c>
      <c r="C96">
        <v>1</v>
      </c>
      <c r="D96">
        <v>0</v>
      </c>
      <c r="E96">
        <v>2</v>
      </c>
      <c r="F96" t="s">
        <v>70</v>
      </c>
      <c r="G96">
        <v>0</v>
      </c>
      <c r="H96">
        <v>0</v>
      </c>
      <c r="I96" t="s">
        <v>125</v>
      </c>
      <c r="J96">
        <v>1</v>
      </c>
      <c r="K96" t="s">
        <v>124</v>
      </c>
      <c r="L96">
        <v>1</v>
      </c>
      <c r="M96" t="s">
        <v>3</v>
      </c>
      <c r="N96">
        <v>0.38</v>
      </c>
      <c r="O96">
        <v>0.39389999999999997</v>
      </c>
      <c r="P96">
        <v>0.37</v>
      </c>
      <c r="Q96">
        <v>0.35820000000000002</v>
      </c>
      <c r="R96">
        <v>3</v>
      </c>
      <c r="S96">
        <v>8</v>
      </c>
      <c r="T96">
        <v>11</v>
      </c>
      <c r="U96" t="b">
        <f t="shared" si="1"/>
        <v>0</v>
      </c>
    </row>
    <row r="97" spans="1:21" x14ac:dyDescent="0.3">
      <c r="A97">
        <v>96</v>
      </c>
      <c r="B97" t="s">
        <v>61</v>
      </c>
      <c r="C97">
        <v>1</v>
      </c>
      <c r="D97">
        <v>0</v>
      </c>
      <c r="E97">
        <v>1</v>
      </c>
      <c r="F97" t="s">
        <v>2</v>
      </c>
      <c r="G97">
        <v>16</v>
      </c>
      <c r="H97">
        <v>1</v>
      </c>
      <c r="I97" t="s">
        <v>125</v>
      </c>
      <c r="J97">
        <v>5</v>
      </c>
      <c r="K97" t="s">
        <v>124</v>
      </c>
      <c r="L97">
        <v>1</v>
      </c>
      <c r="M97" t="s">
        <v>3</v>
      </c>
      <c r="N97">
        <v>0.22</v>
      </c>
      <c r="O97">
        <v>0.2727</v>
      </c>
      <c r="P97">
        <v>0.8</v>
      </c>
      <c r="Q97">
        <v>0</v>
      </c>
      <c r="R97">
        <v>10</v>
      </c>
      <c r="S97">
        <v>70</v>
      </c>
      <c r="T97">
        <v>80</v>
      </c>
      <c r="U97" t="b">
        <f t="shared" si="1"/>
        <v>0</v>
      </c>
    </row>
  </sheetData>
  <autoFilter ref="A1:Z97" xr:uid="{15B6A776-2073-4483-82C9-1F6F7A4CE4C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EA92-A78C-4E98-BB24-5FA6908E3B80}">
  <dimension ref="A2:AG50"/>
  <sheetViews>
    <sheetView showGridLines="0" workbookViewId="0">
      <selection activeCell="F2" sqref="F2:I5"/>
    </sheetView>
  </sheetViews>
  <sheetFormatPr defaultRowHeight="14.4" x14ac:dyDescent="0.3"/>
  <cols>
    <col min="1" max="1" width="12.5546875" bestFit="1" customWidth="1"/>
    <col min="2" max="2" width="12.6640625" bestFit="1" customWidth="1"/>
    <col min="3" max="3" width="15.88671875" bestFit="1" customWidth="1"/>
    <col min="4" max="4" width="11.6640625" bestFit="1" customWidth="1"/>
    <col min="5" max="5" width="4.5546875" customWidth="1"/>
    <col min="6" max="6" width="12.5546875" bestFit="1" customWidth="1"/>
    <col min="7" max="7" width="12.6640625" bestFit="1" customWidth="1"/>
    <col min="8" max="8" width="15.88671875" bestFit="1" customWidth="1"/>
    <col min="9" max="9" width="11.6640625" bestFit="1" customWidth="1"/>
    <col min="10" max="10" width="5.33203125" customWidth="1"/>
    <col min="11" max="11" width="12.5546875" bestFit="1" customWidth="1"/>
    <col min="12" max="12" width="12.6640625" bestFit="1" customWidth="1"/>
    <col min="13" max="13" width="15.88671875" bestFit="1" customWidth="1"/>
    <col min="14" max="14" width="11.6640625" bestFit="1" customWidth="1"/>
    <col min="16" max="16" width="12.5546875" bestFit="1" customWidth="1"/>
    <col min="17" max="19" width="11.6640625" bestFit="1" customWidth="1"/>
    <col min="21" max="21" width="12.5546875" bestFit="1" customWidth="1"/>
    <col min="22" max="22" width="11.6640625" bestFit="1" customWidth="1"/>
    <col min="23" max="23" width="11.6640625" customWidth="1"/>
    <col min="24" max="24" width="12.5546875" bestFit="1" customWidth="1"/>
    <col min="25" max="25" width="15.109375" bestFit="1" customWidth="1"/>
    <col min="26" max="26" width="19.88671875" bestFit="1" customWidth="1"/>
    <col min="27" max="27" width="14.5546875" bestFit="1" customWidth="1"/>
    <col min="28" max="28" width="6.88671875" customWidth="1"/>
    <col min="29" max="29" width="12.5546875" bestFit="1" customWidth="1"/>
    <col min="30" max="31" width="11.6640625" bestFit="1" customWidth="1"/>
    <col min="32" max="32" width="12.6640625" customWidth="1"/>
    <col min="33" max="33" width="11.6640625" bestFit="1" customWidth="1"/>
  </cols>
  <sheetData>
    <row r="2" spans="1:33" x14ac:dyDescent="0.3">
      <c r="A2" s="8" t="s">
        <v>118</v>
      </c>
      <c r="B2" t="s">
        <v>121</v>
      </c>
      <c r="C2" t="s">
        <v>122</v>
      </c>
      <c r="D2" t="s">
        <v>127</v>
      </c>
      <c r="F2" s="8" t="s">
        <v>118</v>
      </c>
      <c r="G2" t="s">
        <v>121</v>
      </c>
      <c r="H2" t="s">
        <v>122</v>
      </c>
      <c r="I2" t="s">
        <v>127</v>
      </c>
      <c r="K2" s="8" t="s">
        <v>118</v>
      </c>
      <c r="L2" t="s">
        <v>121</v>
      </c>
      <c r="M2" t="s">
        <v>122</v>
      </c>
      <c r="N2" t="s">
        <v>127</v>
      </c>
      <c r="P2" s="8" t="s">
        <v>118</v>
      </c>
      <c r="Q2" t="s">
        <v>127</v>
      </c>
    </row>
    <row r="3" spans="1:33" x14ac:dyDescent="0.3">
      <c r="A3" s="9" t="s">
        <v>69</v>
      </c>
      <c r="B3">
        <v>2</v>
      </c>
      <c r="C3">
        <v>9</v>
      </c>
      <c r="D3">
        <v>11</v>
      </c>
      <c r="F3" s="9" t="s">
        <v>2</v>
      </c>
      <c r="G3">
        <v>155</v>
      </c>
      <c r="H3">
        <v>1854</v>
      </c>
      <c r="I3">
        <v>2009</v>
      </c>
      <c r="K3" s="9" t="s">
        <v>4</v>
      </c>
      <c r="L3">
        <v>81</v>
      </c>
      <c r="M3">
        <v>1175</v>
      </c>
      <c r="N3">
        <v>1256</v>
      </c>
      <c r="P3" s="9" t="s">
        <v>124</v>
      </c>
      <c r="Q3">
        <v>2324</v>
      </c>
      <c r="R3" s="9" t="s">
        <v>124</v>
      </c>
      <c r="S3">
        <f>GETPIVOTDATA("Total",$P$2,"Weektype",P3)</f>
        <v>2324</v>
      </c>
      <c r="U3" s="8" t="s">
        <v>118</v>
      </c>
      <c r="V3" t="s">
        <v>127</v>
      </c>
      <c r="X3" s="8" t="s">
        <v>118</v>
      </c>
      <c r="Y3" t="s">
        <v>120</v>
      </c>
      <c r="Z3" t="s">
        <v>130</v>
      </c>
      <c r="AA3" t="s">
        <v>131</v>
      </c>
      <c r="AC3" s="8" t="s">
        <v>118</v>
      </c>
      <c r="AD3" t="s">
        <v>127</v>
      </c>
    </row>
    <row r="4" spans="1:33" x14ac:dyDescent="0.3">
      <c r="A4" s="9" t="s">
        <v>1</v>
      </c>
      <c r="B4">
        <v>12</v>
      </c>
      <c r="C4">
        <v>40</v>
      </c>
      <c r="D4">
        <v>52</v>
      </c>
      <c r="F4" s="9" t="s">
        <v>70</v>
      </c>
      <c r="G4">
        <v>49</v>
      </c>
      <c r="H4">
        <v>1064</v>
      </c>
      <c r="I4">
        <v>1113</v>
      </c>
      <c r="K4" s="9" t="s">
        <v>57</v>
      </c>
      <c r="L4">
        <v>1</v>
      </c>
      <c r="M4">
        <v>35</v>
      </c>
      <c r="N4">
        <v>36</v>
      </c>
      <c r="P4" s="9" t="s">
        <v>108</v>
      </c>
      <c r="Q4">
        <v>798</v>
      </c>
      <c r="R4" s="9" t="s">
        <v>108</v>
      </c>
      <c r="S4">
        <f>GETPIVOTDATA("Total",$P$2,"Weektype",P4)</f>
        <v>798</v>
      </c>
      <c r="U4" s="9" t="s">
        <v>125</v>
      </c>
      <c r="V4">
        <v>1387</v>
      </c>
      <c r="X4" s="9" t="s">
        <v>4</v>
      </c>
      <c r="Y4">
        <v>0.18833333333333335</v>
      </c>
      <c r="Z4">
        <v>0.16046111111111105</v>
      </c>
      <c r="AA4">
        <v>0.66305555555555551</v>
      </c>
      <c r="AC4" s="9" t="s">
        <v>4</v>
      </c>
      <c r="AD4">
        <v>1256</v>
      </c>
      <c r="AF4" s="9" t="s">
        <v>4</v>
      </c>
      <c r="AG4">
        <f>GETPIVOTDATA("Total",$AC$3,"Weather Type",AF4)</f>
        <v>1256</v>
      </c>
    </row>
    <row r="5" spans="1:33" x14ac:dyDescent="0.3">
      <c r="A5" s="9" t="s">
        <v>72</v>
      </c>
      <c r="B5">
        <v>5</v>
      </c>
      <c r="C5">
        <v>195</v>
      </c>
      <c r="D5">
        <v>200</v>
      </c>
      <c r="F5" s="9" t="s">
        <v>119</v>
      </c>
      <c r="G5">
        <v>204</v>
      </c>
      <c r="H5">
        <v>2918</v>
      </c>
      <c r="I5">
        <v>3122</v>
      </c>
      <c r="K5" s="9" t="s">
        <v>6</v>
      </c>
      <c r="L5">
        <v>23</v>
      </c>
      <c r="M5">
        <v>497</v>
      </c>
      <c r="N5">
        <v>520</v>
      </c>
      <c r="P5" s="9" t="s">
        <v>119</v>
      </c>
      <c r="Q5">
        <v>3122</v>
      </c>
      <c r="R5" s="11" t="s">
        <v>119</v>
      </c>
      <c r="S5">
        <f>SUM(S3:S4)</f>
        <v>3122</v>
      </c>
      <c r="U5" s="9" t="s">
        <v>126</v>
      </c>
      <c r="V5">
        <v>1735</v>
      </c>
      <c r="X5" s="9" t="s">
        <v>57</v>
      </c>
      <c r="Y5">
        <v>0.22</v>
      </c>
      <c r="Z5">
        <v>0.32840000000000003</v>
      </c>
      <c r="AA5">
        <v>0.93</v>
      </c>
      <c r="AC5" s="9" t="s">
        <v>57</v>
      </c>
      <c r="AD5">
        <v>36</v>
      </c>
      <c r="AF5" s="9" t="s">
        <v>57</v>
      </c>
      <c r="AG5">
        <f t="shared" ref="AG5:AG7" si="0">GETPIVOTDATA("Total",$AC$3,"Weather Type",AF5)</f>
        <v>36</v>
      </c>
    </row>
    <row r="6" spans="1:33" x14ac:dyDescent="0.3">
      <c r="A6" s="9" t="s">
        <v>8</v>
      </c>
      <c r="B6">
        <v>11</v>
      </c>
      <c r="C6">
        <v>73</v>
      </c>
      <c r="D6">
        <v>84</v>
      </c>
      <c r="K6" s="9" t="s">
        <v>3</v>
      </c>
      <c r="L6">
        <v>99</v>
      </c>
      <c r="M6">
        <v>1211</v>
      </c>
      <c r="N6">
        <v>1310</v>
      </c>
      <c r="U6" s="9" t="s">
        <v>119</v>
      </c>
      <c r="V6">
        <v>3122</v>
      </c>
      <c r="X6" s="9" t="s">
        <v>6</v>
      </c>
      <c r="Y6">
        <v>0.22000000000000006</v>
      </c>
      <c r="Z6">
        <v>0.15364117647058823</v>
      </c>
      <c r="AA6">
        <v>0.79588235294117649</v>
      </c>
      <c r="AC6" s="9" t="s">
        <v>6</v>
      </c>
      <c r="AD6">
        <v>520</v>
      </c>
      <c r="AF6" s="9" t="s">
        <v>6</v>
      </c>
      <c r="AG6">
        <f t="shared" si="0"/>
        <v>520</v>
      </c>
    </row>
    <row r="7" spans="1:33" x14ac:dyDescent="0.3">
      <c r="A7" s="9" t="s">
        <v>74</v>
      </c>
      <c r="B7">
        <v>1</v>
      </c>
      <c r="C7">
        <v>11</v>
      </c>
      <c r="D7">
        <v>12</v>
      </c>
      <c r="K7" s="9" t="s">
        <v>119</v>
      </c>
      <c r="L7">
        <v>204</v>
      </c>
      <c r="M7">
        <v>2918</v>
      </c>
      <c r="N7">
        <v>3122</v>
      </c>
      <c r="X7" s="9" t="s">
        <v>3</v>
      </c>
      <c r="Y7">
        <v>0.19428571428571426</v>
      </c>
      <c r="Z7">
        <v>0.18976666666666667</v>
      </c>
      <c r="AA7">
        <v>0.6004761904761905</v>
      </c>
      <c r="AC7" s="9" t="s">
        <v>3</v>
      </c>
      <c r="AD7">
        <v>1310</v>
      </c>
      <c r="AF7" s="9" t="s">
        <v>3</v>
      </c>
      <c r="AG7">
        <f t="shared" si="0"/>
        <v>1310</v>
      </c>
    </row>
    <row r="8" spans="1:33" x14ac:dyDescent="0.3">
      <c r="A8" s="9" t="s">
        <v>10</v>
      </c>
      <c r="B8">
        <v>0</v>
      </c>
      <c r="C8">
        <v>5</v>
      </c>
      <c r="D8">
        <v>5</v>
      </c>
      <c r="X8" s="9" t="s">
        <v>119</v>
      </c>
      <c r="Y8">
        <v>0.19687500000000005</v>
      </c>
      <c r="Z8">
        <v>0.17382395833333339</v>
      </c>
      <c r="AA8">
        <v>0.66197916666666645</v>
      </c>
      <c r="AC8" s="9" t="s">
        <v>119</v>
      </c>
      <c r="AD8">
        <v>3122</v>
      </c>
      <c r="AF8" s="11" t="s">
        <v>119</v>
      </c>
      <c r="AG8">
        <f>SUM(AG4:AG7)</f>
        <v>3122</v>
      </c>
    </row>
    <row r="9" spans="1:33" x14ac:dyDescent="0.3">
      <c r="A9" s="9" t="s">
        <v>76</v>
      </c>
      <c r="B9">
        <v>3</v>
      </c>
      <c r="C9">
        <v>97</v>
      </c>
      <c r="D9">
        <v>100</v>
      </c>
    </row>
    <row r="10" spans="1:33" x14ac:dyDescent="0.3">
      <c r="A10" s="9" t="s">
        <v>12</v>
      </c>
      <c r="B10">
        <v>5</v>
      </c>
      <c r="C10">
        <v>42</v>
      </c>
      <c r="D10">
        <v>47</v>
      </c>
    </row>
    <row r="11" spans="1:33" x14ac:dyDescent="0.3">
      <c r="A11" s="9" t="s">
        <v>78</v>
      </c>
      <c r="B11">
        <v>8</v>
      </c>
      <c r="C11">
        <v>108</v>
      </c>
      <c r="D11">
        <v>116</v>
      </c>
    </row>
    <row r="12" spans="1:33" x14ac:dyDescent="0.3">
      <c r="A12" s="9" t="s">
        <v>14</v>
      </c>
      <c r="B12">
        <v>0</v>
      </c>
      <c r="C12">
        <v>6</v>
      </c>
      <c r="D12">
        <v>6</v>
      </c>
    </row>
    <row r="13" spans="1:33" x14ac:dyDescent="0.3">
      <c r="A13" s="9" t="s">
        <v>80</v>
      </c>
      <c r="B13">
        <v>2</v>
      </c>
      <c r="C13">
        <v>37</v>
      </c>
      <c r="D13">
        <v>39</v>
      </c>
    </row>
    <row r="14" spans="1:33" x14ac:dyDescent="0.3">
      <c r="A14" s="9" t="s">
        <v>16</v>
      </c>
      <c r="B14">
        <v>0</v>
      </c>
      <c r="C14">
        <v>12</v>
      </c>
      <c r="D14">
        <v>12</v>
      </c>
    </row>
    <row r="15" spans="1:33" x14ac:dyDescent="0.3">
      <c r="A15" s="9" t="s">
        <v>82</v>
      </c>
      <c r="B15">
        <v>8</v>
      </c>
      <c r="C15">
        <v>237</v>
      </c>
      <c r="D15">
        <v>245</v>
      </c>
    </row>
    <row r="16" spans="1:33" x14ac:dyDescent="0.3">
      <c r="A16" s="9" t="s">
        <v>18</v>
      </c>
      <c r="B16">
        <v>12</v>
      </c>
      <c r="C16">
        <v>94</v>
      </c>
      <c r="D16">
        <v>106</v>
      </c>
    </row>
    <row r="17" spans="1:4" x14ac:dyDescent="0.3">
      <c r="A17" s="9" t="s">
        <v>84</v>
      </c>
      <c r="B17">
        <v>4</v>
      </c>
      <c r="C17">
        <v>10</v>
      </c>
      <c r="D17">
        <v>14</v>
      </c>
    </row>
    <row r="18" spans="1:4" x14ac:dyDescent="0.3">
      <c r="A18" s="9" t="s">
        <v>20</v>
      </c>
      <c r="B18">
        <v>8</v>
      </c>
      <c r="C18">
        <v>126</v>
      </c>
      <c r="D18">
        <v>134</v>
      </c>
    </row>
    <row r="19" spans="1:4" x14ac:dyDescent="0.3">
      <c r="A19" s="9" t="s">
        <v>86</v>
      </c>
      <c r="B19">
        <v>2</v>
      </c>
      <c r="C19">
        <v>144</v>
      </c>
      <c r="D19">
        <v>146</v>
      </c>
    </row>
    <row r="20" spans="1:4" x14ac:dyDescent="0.3">
      <c r="A20" s="9" t="s">
        <v>22</v>
      </c>
      <c r="B20">
        <v>1</v>
      </c>
      <c r="C20">
        <v>24</v>
      </c>
      <c r="D20">
        <v>25</v>
      </c>
    </row>
    <row r="21" spans="1:4" x14ac:dyDescent="0.3">
      <c r="A21" s="9" t="s">
        <v>88</v>
      </c>
      <c r="B21">
        <v>0</v>
      </c>
      <c r="C21">
        <v>116</v>
      </c>
      <c r="D21">
        <v>116</v>
      </c>
    </row>
    <row r="22" spans="1:4" x14ac:dyDescent="0.3">
      <c r="A22" s="9" t="s">
        <v>24</v>
      </c>
      <c r="B22">
        <v>6</v>
      </c>
      <c r="C22">
        <v>187</v>
      </c>
      <c r="D22">
        <v>193</v>
      </c>
    </row>
    <row r="23" spans="1:4" x14ac:dyDescent="0.3">
      <c r="A23" s="9" t="s">
        <v>90</v>
      </c>
      <c r="B23">
        <v>2</v>
      </c>
      <c r="C23">
        <v>12</v>
      </c>
      <c r="D23">
        <v>14</v>
      </c>
    </row>
    <row r="24" spans="1:4" x14ac:dyDescent="0.3">
      <c r="A24" s="9" t="s">
        <v>26</v>
      </c>
      <c r="B24">
        <v>3</v>
      </c>
      <c r="C24">
        <v>107</v>
      </c>
      <c r="D24">
        <v>110</v>
      </c>
    </row>
    <row r="25" spans="1:4" x14ac:dyDescent="0.3">
      <c r="A25" s="9" t="s">
        <v>92</v>
      </c>
      <c r="B25">
        <v>3</v>
      </c>
      <c r="C25">
        <v>27</v>
      </c>
      <c r="D25">
        <v>30</v>
      </c>
    </row>
    <row r="26" spans="1:4" x14ac:dyDescent="0.3">
      <c r="A26" s="9" t="s">
        <v>28</v>
      </c>
      <c r="B26">
        <v>0</v>
      </c>
      <c r="C26">
        <v>8</v>
      </c>
      <c r="D26">
        <v>8</v>
      </c>
    </row>
    <row r="27" spans="1:4" x14ac:dyDescent="0.3">
      <c r="A27" s="9" t="s">
        <v>94</v>
      </c>
      <c r="B27">
        <v>6</v>
      </c>
      <c r="C27">
        <v>53</v>
      </c>
      <c r="D27">
        <v>59</v>
      </c>
    </row>
    <row r="28" spans="1:4" x14ac:dyDescent="0.3">
      <c r="A28" s="9" t="s">
        <v>30</v>
      </c>
      <c r="B28">
        <v>3</v>
      </c>
      <c r="C28">
        <v>42</v>
      </c>
      <c r="D28">
        <v>45</v>
      </c>
    </row>
    <row r="29" spans="1:4" x14ac:dyDescent="0.3">
      <c r="A29" s="9" t="s">
        <v>96</v>
      </c>
      <c r="B29">
        <v>3</v>
      </c>
      <c r="C29">
        <v>8</v>
      </c>
      <c r="D29">
        <v>11</v>
      </c>
    </row>
    <row r="30" spans="1:4" x14ac:dyDescent="0.3">
      <c r="A30" s="9" t="s">
        <v>32</v>
      </c>
      <c r="B30">
        <v>2</v>
      </c>
      <c r="C30">
        <v>48</v>
      </c>
      <c r="D30">
        <v>50</v>
      </c>
    </row>
    <row r="31" spans="1:4" x14ac:dyDescent="0.3">
      <c r="A31" s="9" t="s">
        <v>34</v>
      </c>
      <c r="B31">
        <v>5</v>
      </c>
      <c r="C31">
        <v>43</v>
      </c>
      <c r="D31">
        <v>48</v>
      </c>
    </row>
    <row r="32" spans="1:4" x14ac:dyDescent="0.3">
      <c r="A32" s="9" t="s">
        <v>36</v>
      </c>
      <c r="B32">
        <v>7</v>
      </c>
      <c r="C32">
        <v>34</v>
      </c>
      <c r="D32">
        <v>41</v>
      </c>
    </row>
    <row r="33" spans="1:4" x14ac:dyDescent="0.3">
      <c r="A33" s="9" t="s">
        <v>38</v>
      </c>
      <c r="B33">
        <v>7</v>
      </c>
      <c r="C33">
        <v>141</v>
      </c>
      <c r="D33">
        <v>148</v>
      </c>
    </row>
    <row r="34" spans="1:4" x14ac:dyDescent="0.3">
      <c r="A34" s="9" t="s">
        <v>40</v>
      </c>
      <c r="B34">
        <v>0</v>
      </c>
      <c r="C34">
        <v>3</v>
      </c>
      <c r="D34">
        <v>3</v>
      </c>
    </row>
    <row r="35" spans="1:4" x14ac:dyDescent="0.3">
      <c r="A35" s="9" t="s">
        <v>42</v>
      </c>
      <c r="B35">
        <v>12</v>
      </c>
      <c r="C35">
        <v>76</v>
      </c>
      <c r="D35">
        <v>88</v>
      </c>
    </row>
    <row r="36" spans="1:4" x14ac:dyDescent="0.3">
      <c r="A36" s="9" t="s">
        <v>44</v>
      </c>
      <c r="B36">
        <v>8</v>
      </c>
      <c r="C36">
        <v>148</v>
      </c>
      <c r="D36">
        <v>156</v>
      </c>
    </row>
    <row r="37" spans="1:4" x14ac:dyDescent="0.3">
      <c r="A37" s="9" t="s">
        <v>46</v>
      </c>
      <c r="B37">
        <v>2</v>
      </c>
      <c r="C37">
        <v>26</v>
      </c>
      <c r="D37">
        <v>28</v>
      </c>
    </row>
    <row r="38" spans="1:4" x14ac:dyDescent="0.3">
      <c r="A38" s="9" t="s">
        <v>48</v>
      </c>
      <c r="B38">
        <v>3</v>
      </c>
      <c r="C38">
        <v>22</v>
      </c>
      <c r="D38">
        <v>25</v>
      </c>
    </row>
    <row r="39" spans="1:4" x14ac:dyDescent="0.3">
      <c r="A39" s="9" t="s">
        <v>50</v>
      </c>
      <c r="B39">
        <v>2</v>
      </c>
      <c r="C39">
        <v>23</v>
      </c>
      <c r="D39">
        <v>25</v>
      </c>
    </row>
    <row r="40" spans="1:4" x14ac:dyDescent="0.3">
      <c r="A40" s="9" t="s">
        <v>52</v>
      </c>
      <c r="B40">
        <v>11</v>
      </c>
      <c r="C40">
        <v>59</v>
      </c>
      <c r="D40">
        <v>70</v>
      </c>
    </row>
    <row r="41" spans="1:4" x14ac:dyDescent="0.3">
      <c r="A41" s="9" t="s">
        <v>54</v>
      </c>
      <c r="B41">
        <v>3</v>
      </c>
      <c r="C41">
        <v>8</v>
      </c>
      <c r="D41">
        <v>11</v>
      </c>
    </row>
    <row r="42" spans="1:4" x14ac:dyDescent="0.3">
      <c r="A42" s="9" t="s">
        <v>56</v>
      </c>
      <c r="B42">
        <v>7</v>
      </c>
      <c r="C42">
        <v>56</v>
      </c>
      <c r="D42">
        <v>63</v>
      </c>
    </row>
    <row r="43" spans="1:4" x14ac:dyDescent="0.3">
      <c r="A43" s="9" t="s">
        <v>59</v>
      </c>
      <c r="B43">
        <v>1</v>
      </c>
      <c r="C43">
        <v>23</v>
      </c>
      <c r="D43">
        <v>24</v>
      </c>
    </row>
    <row r="44" spans="1:4" x14ac:dyDescent="0.3">
      <c r="A44" s="9" t="s">
        <v>61</v>
      </c>
      <c r="B44">
        <v>16</v>
      </c>
      <c r="C44">
        <v>174</v>
      </c>
      <c r="D44">
        <v>190</v>
      </c>
    </row>
    <row r="45" spans="1:4" x14ac:dyDescent="0.3">
      <c r="A45" s="9" t="s">
        <v>63</v>
      </c>
      <c r="B45">
        <v>4</v>
      </c>
      <c r="C45">
        <v>71</v>
      </c>
      <c r="D45">
        <v>75</v>
      </c>
    </row>
    <row r="46" spans="1:4" x14ac:dyDescent="0.3">
      <c r="A46" s="9" t="s">
        <v>65</v>
      </c>
      <c r="B46">
        <v>1</v>
      </c>
      <c r="C46">
        <v>44</v>
      </c>
      <c r="D46">
        <v>45</v>
      </c>
    </row>
    <row r="47" spans="1:4" x14ac:dyDescent="0.3">
      <c r="A47" s="9" t="s">
        <v>67</v>
      </c>
      <c r="B47">
        <v>3</v>
      </c>
      <c r="C47">
        <v>89</v>
      </c>
      <c r="D47">
        <v>92</v>
      </c>
    </row>
    <row r="48" spans="1:4" x14ac:dyDescent="0.3">
      <c r="A48" s="9" t="s">
        <v>119</v>
      </c>
      <c r="B48">
        <v>204</v>
      </c>
      <c r="C48">
        <v>2918</v>
      </c>
      <c r="D48">
        <v>3122</v>
      </c>
    </row>
    <row r="50" spans="2:4" x14ac:dyDescent="0.3">
      <c r="B50">
        <f>GETPIVOTDATA("Sum of casual",$A$2)</f>
        <v>204</v>
      </c>
      <c r="C50">
        <f>GETPIVOTDATA("Sum of registered",$A$2)</f>
        <v>2918</v>
      </c>
      <c r="D50">
        <f>GETPIVOTDATA("Sum of Total",$A$2)</f>
        <v>3122</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79C8EF8C-0A50-4F8B-AEAD-9E933F86ED48}">
          <x14:colorSeries rgb="FF376092"/>
          <x14:colorNegative rgb="FFD00000"/>
          <x14:colorAxis rgb="FF000000"/>
          <x14:colorMarkers rgb="FFD00000"/>
          <x14:colorFirst rgb="FFD00000"/>
          <x14:colorLast rgb="FFD00000"/>
          <x14:colorHigh rgb="FFFF0000"/>
          <x14:colorLow rgb="FFD00000"/>
          <x14:sparklines>
            <x14:sparkline>
              <xm:f>Pivot!B3:B47</xm:f>
              <xm:sqref>B51</xm:sqref>
            </x14:sparkline>
          </x14:sparklines>
        </x14:sparklineGroup>
        <x14:sparklineGroup type="column" displayEmptyCellsAs="gap" high="1" xr2:uid="{9C6192C9-B9FC-4827-B0A0-70BDB3AD899F}">
          <x14:colorSeries rgb="FF376092"/>
          <x14:colorNegative rgb="FFD00000"/>
          <x14:colorAxis rgb="FF000000"/>
          <x14:colorMarkers rgb="FFD00000"/>
          <x14:colorFirst rgb="FFD00000"/>
          <x14:colorLast rgb="FFD00000"/>
          <x14:colorHigh rgb="FFFF0000"/>
          <x14:colorLow rgb="FFD00000"/>
          <x14:sparklines>
            <x14:sparkline>
              <xm:f>Pivot!C3:C47</xm:f>
              <xm:sqref>C51</xm:sqref>
            </x14:sparkline>
          </x14:sparklines>
        </x14:sparklineGroup>
        <x14:sparklineGroup type="column" displayEmptyCellsAs="gap" high="1" xr2:uid="{6C6264FD-B201-44A1-854D-F92EB57F46DD}">
          <x14:colorSeries rgb="FF376092"/>
          <x14:colorNegative rgb="FFD00000"/>
          <x14:colorAxis rgb="FF000000"/>
          <x14:colorMarkers rgb="FFD00000"/>
          <x14:colorFirst rgb="FFD00000"/>
          <x14:colorLast rgb="FFD00000"/>
          <x14:colorHigh rgb="FFFF0000"/>
          <x14:colorLow rgb="FFD00000"/>
          <x14:sparklines>
            <x14:sparkline>
              <xm:f>Pivot!D3:D47</xm:f>
              <xm:sqref>D51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63FE-E034-4A62-961F-9C6EC7FD033A}">
  <dimension ref="A1:I61"/>
  <sheetViews>
    <sheetView workbookViewId="0">
      <selection activeCell="F16" sqref="F16"/>
    </sheetView>
  </sheetViews>
  <sheetFormatPr defaultRowHeight="14.4" x14ac:dyDescent="0.3"/>
  <cols>
    <col min="2" max="2" width="10.77734375" customWidth="1"/>
    <col min="8" max="8" width="13.109375" customWidth="1"/>
    <col min="9" max="9" width="12" customWidth="1"/>
  </cols>
  <sheetData>
    <row r="1" spans="1:9" x14ac:dyDescent="0.3">
      <c r="A1" t="s">
        <v>97</v>
      </c>
      <c r="B1" t="s">
        <v>99</v>
      </c>
      <c r="C1" t="s">
        <v>123</v>
      </c>
      <c r="D1" t="s">
        <v>141</v>
      </c>
      <c r="E1" t="s">
        <v>142</v>
      </c>
      <c r="F1" t="s">
        <v>143</v>
      </c>
      <c r="G1" t="s">
        <v>144</v>
      </c>
      <c r="H1" t="s">
        <v>145</v>
      </c>
      <c r="I1" t="s">
        <v>146</v>
      </c>
    </row>
    <row r="2" spans="1:9" x14ac:dyDescent="0.3">
      <c r="A2">
        <v>1</v>
      </c>
      <c r="B2" s="12">
        <v>40544</v>
      </c>
      <c r="C2">
        <v>16</v>
      </c>
      <c r="D2" t="b">
        <f>OR(C2&gt;$H$2,C2&lt;F6)</f>
        <v>0</v>
      </c>
      <c r="E2">
        <f>QUARTILE(C2:C46,1)</f>
        <v>8</v>
      </c>
      <c r="F2">
        <f>QUARTILE(C2:C46,3)</f>
        <v>21</v>
      </c>
      <c r="G2">
        <f>F2-E2</f>
        <v>13</v>
      </c>
      <c r="H2">
        <f>F2+(1.5*G2)</f>
        <v>40.5</v>
      </c>
      <c r="I2">
        <f>E2-(1.5*G2)</f>
        <v>-11.5</v>
      </c>
    </row>
    <row r="3" spans="1:9" x14ac:dyDescent="0.3">
      <c r="A3">
        <v>4</v>
      </c>
      <c r="B3" s="12">
        <v>40545</v>
      </c>
      <c r="C3">
        <v>17</v>
      </c>
      <c r="D3" t="b">
        <f t="shared" ref="D3:D46" si="0">OR(C3&gt;$H$2,C3&lt;F7)</f>
        <v>0</v>
      </c>
    </row>
    <row r="4" spans="1:9" x14ac:dyDescent="0.3">
      <c r="A4">
        <v>7</v>
      </c>
      <c r="B4" s="12">
        <v>40546</v>
      </c>
      <c r="C4">
        <v>5</v>
      </c>
      <c r="D4" t="b">
        <f t="shared" si="0"/>
        <v>0</v>
      </c>
    </row>
    <row r="5" spans="1:9" x14ac:dyDescent="0.3">
      <c r="A5">
        <v>8</v>
      </c>
      <c r="B5" s="12">
        <v>40547</v>
      </c>
      <c r="C5">
        <v>5</v>
      </c>
      <c r="D5" t="b">
        <f t="shared" si="0"/>
        <v>0</v>
      </c>
    </row>
    <row r="6" spans="1:9" x14ac:dyDescent="0.3">
      <c r="A6">
        <v>10</v>
      </c>
      <c r="B6" s="12">
        <v>40548</v>
      </c>
      <c r="C6">
        <v>6</v>
      </c>
      <c r="D6" t="b">
        <f t="shared" si="0"/>
        <v>0</v>
      </c>
    </row>
    <row r="7" spans="1:9" x14ac:dyDescent="0.3">
      <c r="A7">
        <v>11</v>
      </c>
      <c r="B7" s="12">
        <v>40549</v>
      </c>
      <c r="C7">
        <v>11</v>
      </c>
      <c r="D7" t="b">
        <f t="shared" si="0"/>
        <v>0</v>
      </c>
    </row>
    <row r="8" spans="1:9" x14ac:dyDescent="0.3">
      <c r="A8">
        <v>13</v>
      </c>
      <c r="B8" s="12">
        <v>40550</v>
      </c>
      <c r="C8">
        <v>17</v>
      </c>
      <c r="D8" t="b">
        <f t="shared" si="0"/>
        <v>0</v>
      </c>
    </row>
    <row r="9" spans="1:9" x14ac:dyDescent="0.3">
      <c r="A9">
        <v>16</v>
      </c>
      <c r="B9" s="12">
        <v>40551</v>
      </c>
      <c r="C9">
        <v>25</v>
      </c>
      <c r="D9" t="b">
        <f t="shared" si="0"/>
        <v>0</v>
      </c>
    </row>
    <row r="10" spans="1:9" x14ac:dyDescent="0.3">
      <c r="A10">
        <v>19</v>
      </c>
      <c r="B10" s="12">
        <v>40552</v>
      </c>
      <c r="C10">
        <v>25</v>
      </c>
      <c r="D10" t="b">
        <f t="shared" si="0"/>
        <v>0</v>
      </c>
    </row>
    <row r="11" spans="1:9" x14ac:dyDescent="0.3">
      <c r="A11">
        <v>20</v>
      </c>
      <c r="B11" s="12">
        <v>40553</v>
      </c>
      <c r="C11">
        <v>5</v>
      </c>
      <c r="D11" t="b">
        <f t="shared" si="0"/>
        <v>0</v>
      </c>
    </row>
    <row r="12" spans="1:9" x14ac:dyDescent="0.3">
      <c r="A12">
        <v>22</v>
      </c>
      <c r="B12" s="12">
        <v>40554</v>
      </c>
      <c r="C12">
        <v>12</v>
      </c>
      <c r="D12" t="b">
        <f t="shared" si="0"/>
        <v>0</v>
      </c>
    </row>
    <row r="13" spans="1:9" x14ac:dyDescent="0.3">
      <c r="A13">
        <v>25</v>
      </c>
      <c r="B13" s="12">
        <v>40555</v>
      </c>
      <c r="C13">
        <v>7</v>
      </c>
      <c r="D13" t="b">
        <f t="shared" si="0"/>
        <v>0</v>
      </c>
    </row>
    <row r="14" spans="1:9" x14ac:dyDescent="0.3">
      <c r="A14">
        <v>27</v>
      </c>
      <c r="B14" s="12">
        <v>40556</v>
      </c>
      <c r="C14">
        <v>7</v>
      </c>
      <c r="D14" t="b">
        <f t="shared" si="0"/>
        <v>0</v>
      </c>
    </row>
    <row r="15" spans="1:9" x14ac:dyDescent="0.3">
      <c r="A15">
        <v>29</v>
      </c>
      <c r="B15" s="12">
        <v>40557</v>
      </c>
      <c r="C15">
        <v>14</v>
      </c>
      <c r="D15" t="b">
        <f t="shared" si="0"/>
        <v>0</v>
      </c>
    </row>
    <row r="16" spans="1:9" x14ac:dyDescent="0.3">
      <c r="A16">
        <v>31</v>
      </c>
      <c r="B16" s="12">
        <v>40558</v>
      </c>
      <c r="C16">
        <v>28</v>
      </c>
      <c r="D16" t="b">
        <f t="shared" si="0"/>
        <v>0</v>
      </c>
    </row>
    <row r="17" spans="1:4" x14ac:dyDescent="0.3">
      <c r="A17">
        <v>33</v>
      </c>
      <c r="B17" s="12">
        <v>40559</v>
      </c>
      <c r="C17">
        <v>39</v>
      </c>
      <c r="D17" t="b">
        <f t="shared" si="0"/>
        <v>0</v>
      </c>
    </row>
    <row r="18" spans="1:4" x14ac:dyDescent="0.3">
      <c r="A18">
        <v>35</v>
      </c>
      <c r="B18" s="12">
        <v>40560</v>
      </c>
      <c r="C18">
        <v>17</v>
      </c>
      <c r="D18" t="b">
        <f t="shared" si="0"/>
        <v>0</v>
      </c>
    </row>
    <row r="19" spans="1:4" x14ac:dyDescent="0.3">
      <c r="A19">
        <v>38</v>
      </c>
      <c r="B19" s="12">
        <v>40561</v>
      </c>
      <c r="C19">
        <v>3</v>
      </c>
      <c r="D19" t="b">
        <f t="shared" si="0"/>
        <v>0</v>
      </c>
    </row>
    <row r="20" spans="1:4" x14ac:dyDescent="0.3">
      <c r="A20">
        <v>39</v>
      </c>
      <c r="B20" s="12">
        <v>40562</v>
      </c>
      <c r="C20">
        <v>3</v>
      </c>
      <c r="D20" t="b">
        <f t="shared" si="0"/>
        <v>0</v>
      </c>
    </row>
    <row r="21" spans="1:4" x14ac:dyDescent="0.3">
      <c r="A21">
        <v>42</v>
      </c>
      <c r="B21" s="12">
        <v>40563</v>
      </c>
      <c r="C21">
        <v>13</v>
      </c>
      <c r="D21" t="b">
        <f t="shared" si="0"/>
        <v>0</v>
      </c>
    </row>
    <row r="22" spans="1:4" x14ac:dyDescent="0.3">
      <c r="A22">
        <v>44</v>
      </c>
      <c r="B22" s="12">
        <v>40564</v>
      </c>
      <c r="C22">
        <v>21</v>
      </c>
      <c r="D22" t="b">
        <f t="shared" si="0"/>
        <v>0</v>
      </c>
    </row>
    <row r="23" spans="1:4" x14ac:dyDescent="0.3">
      <c r="A23">
        <v>47</v>
      </c>
      <c r="B23" s="12">
        <v>40565</v>
      </c>
      <c r="C23">
        <v>13</v>
      </c>
      <c r="D23" t="b">
        <f t="shared" si="0"/>
        <v>0</v>
      </c>
    </row>
    <row r="24" spans="1:4" x14ac:dyDescent="0.3">
      <c r="A24">
        <v>49</v>
      </c>
      <c r="B24" s="12">
        <v>40566</v>
      </c>
      <c r="C24">
        <v>22</v>
      </c>
      <c r="D24" t="b">
        <f t="shared" si="0"/>
        <v>0</v>
      </c>
    </row>
    <row r="25" spans="1:4" x14ac:dyDescent="0.3">
      <c r="A25">
        <v>51</v>
      </c>
      <c r="B25" s="12">
        <v>40567</v>
      </c>
      <c r="C25">
        <v>7</v>
      </c>
      <c r="D25" t="b">
        <f t="shared" si="0"/>
        <v>0</v>
      </c>
    </row>
    <row r="26" spans="1:4" x14ac:dyDescent="0.3">
      <c r="A26">
        <v>53</v>
      </c>
      <c r="B26" s="12">
        <v>40568</v>
      </c>
      <c r="C26">
        <v>9</v>
      </c>
      <c r="D26" t="b">
        <f t="shared" si="0"/>
        <v>0</v>
      </c>
    </row>
    <row r="27" spans="1:4" x14ac:dyDescent="0.3">
      <c r="A27">
        <v>55</v>
      </c>
      <c r="B27" s="12">
        <v>40569</v>
      </c>
      <c r="C27">
        <v>17</v>
      </c>
      <c r="D27" t="b">
        <f t="shared" si="0"/>
        <v>0</v>
      </c>
    </row>
    <row r="28" spans="1:4" x14ac:dyDescent="0.3">
      <c r="A28">
        <v>58</v>
      </c>
      <c r="B28" s="12">
        <v>40570</v>
      </c>
      <c r="C28">
        <v>24</v>
      </c>
      <c r="D28" t="b">
        <f t="shared" si="0"/>
        <v>0</v>
      </c>
    </row>
    <row r="29" spans="1:4" x14ac:dyDescent="0.3">
      <c r="A29">
        <v>59</v>
      </c>
      <c r="B29" s="12">
        <v>40571</v>
      </c>
      <c r="C29">
        <v>9</v>
      </c>
      <c r="D29" t="b">
        <f t="shared" si="0"/>
        <v>0</v>
      </c>
    </row>
    <row r="30" spans="1:4" x14ac:dyDescent="0.3">
      <c r="A30">
        <v>61</v>
      </c>
      <c r="B30" s="12">
        <v>40572</v>
      </c>
      <c r="C30">
        <v>20</v>
      </c>
      <c r="D30" t="b">
        <f t="shared" si="0"/>
        <v>0</v>
      </c>
    </row>
    <row r="31" spans="1:4" x14ac:dyDescent="0.3">
      <c r="A31">
        <v>63</v>
      </c>
      <c r="B31" s="12">
        <v>40573</v>
      </c>
      <c r="C31">
        <v>33</v>
      </c>
      <c r="D31" t="b">
        <f t="shared" si="0"/>
        <v>0</v>
      </c>
    </row>
    <row r="32" spans="1:4" x14ac:dyDescent="0.3">
      <c r="A32">
        <v>65</v>
      </c>
      <c r="B32" s="12">
        <v>40574</v>
      </c>
      <c r="C32">
        <v>7</v>
      </c>
      <c r="D32" t="b">
        <f t="shared" si="0"/>
        <v>0</v>
      </c>
    </row>
    <row r="33" spans="1:4" x14ac:dyDescent="0.3">
      <c r="A33">
        <v>68</v>
      </c>
      <c r="B33" s="12">
        <v>40575</v>
      </c>
      <c r="C33">
        <v>8</v>
      </c>
      <c r="D33" t="b">
        <f t="shared" si="0"/>
        <v>0</v>
      </c>
    </row>
    <row r="34" spans="1:4" x14ac:dyDescent="0.3">
      <c r="A34">
        <v>70</v>
      </c>
      <c r="B34" s="12">
        <v>40576</v>
      </c>
      <c r="C34">
        <v>2</v>
      </c>
      <c r="D34" t="b">
        <f t="shared" si="0"/>
        <v>0</v>
      </c>
    </row>
    <row r="35" spans="1:4" x14ac:dyDescent="0.3">
      <c r="A35">
        <v>73</v>
      </c>
      <c r="B35" s="12">
        <v>40577</v>
      </c>
      <c r="C35">
        <v>12</v>
      </c>
      <c r="D35" t="b">
        <f t="shared" si="0"/>
        <v>0</v>
      </c>
    </row>
    <row r="36" spans="1:4" x14ac:dyDescent="0.3">
      <c r="A36">
        <v>74</v>
      </c>
      <c r="B36" s="12">
        <v>40578</v>
      </c>
      <c r="C36">
        <v>13</v>
      </c>
      <c r="D36" t="b">
        <f t="shared" si="0"/>
        <v>0</v>
      </c>
    </row>
    <row r="37" spans="1:4" x14ac:dyDescent="0.3">
      <c r="A37">
        <v>76</v>
      </c>
      <c r="B37" s="12">
        <v>40579</v>
      </c>
      <c r="C37">
        <v>39</v>
      </c>
      <c r="D37" t="b">
        <f t="shared" si="0"/>
        <v>0</v>
      </c>
    </row>
    <row r="38" spans="1:4" x14ac:dyDescent="0.3">
      <c r="A38">
        <v>79</v>
      </c>
      <c r="B38" s="12">
        <v>40580</v>
      </c>
      <c r="C38">
        <v>39</v>
      </c>
      <c r="D38" t="b">
        <f t="shared" si="0"/>
        <v>0</v>
      </c>
    </row>
    <row r="39" spans="1:4" x14ac:dyDescent="0.3">
      <c r="A39">
        <v>80</v>
      </c>
      <c r="B39" s="12">
        <v>40581</v>
      </c>
      <c r="C39">
        <v>15</v>
      </c>
      <c r="D39" t="b">
        <f t="shared" si="0"/>
        <v>0</v>
      </c>
    </row>
    <row r="40" spans="1:4" x14ac:dyDescent="0.3">
      <c r="A40">
        <v>82</v>
      </c>
      <c r="B40" s="12">
        <v>40582</v>
      </c>
      <c r="C40">
        <v>10</v>
      </c>
      <c r="D40" t="b">
        <f t="shared" si="0"/>
        <v>0</v>
      </c>
    </row>
    <row r="41" spans="1:4" x14ac:dyDescent="0.3">
      <c r="A41">
        <v>85</v>
      </c>
      <c r="B41" s="12">
        <v>40583</v>
      </c>
      <c r="C41">
        <v>17</v>
      </c>
      <c r="D41" t="b">
        <f t="shared" si="0"/>
        <v>0</v>
      </c>
    </row>
    <row r="42" spans="1:4" x14ac:dyDescent="0.3">
      <c r="A42">
        <v>88</v>
      </c>
      <c r="B42" s="12">
        <v>40584</v>
      </c>
      <c r="C42">
        <v>16</v>
      </c>
      <c r="D42" t="b">
        <f t="shared" si="0"/>
        <v>0</v>
      </c>
    </row>
    <row r="43" spans="1:4" x14ac:dyDescent="0.3">
      <c r="A43">
        <v>91</v>
      </c>
      <c r="B43" s="12">
        <v>40585</v>
      </c>
      <c r="C43">
        <v>14</v>
      </c>
      <c r="D43" t="b">
        <f t="shared" si="0"/>
        <v>0</v>
      </c>
    </row>
    <row r="44" spans="1:4" x14ac:dyDescent="0.3">
      <c r="A44">
        <v>92</v>
      </c>
      <c r="B44" s="12">
        <v>40586</v>
      </c>
      <c r="C44">
        <v>30</v>
      </c>
      <c r="D44" t="b">
        <f t="shared" si="0"/>
        <v>0</v>
      </c>
    </row>
    <row r="45" spans="1:4" x14ac:dyDescent="0.3">
      <c r="A45">
        <v>93</v>
      </c>
      <c r="B45" s="12">
        <v>40587</v>
      </c>
      <c r="C45">
        <v>39</v>
      </c>
      <c r="D45" t="b">
        <f t="shared" si="0"/>
        <v>0</v>
      </c>
    </row>
    <row r="46" spans="1:4" x14ac:dyDescent="0.3">
      <c r="A46">
        <v>95</v>
      </c>
      <c r="B46" s="12">
        <v>40588</v>
      </c>
      <c r="C46">
        <v>11</v>
      </c>
      <c r="D46" t="b">
        <f t="shared" si="0"/>
        <v>0</v>
      </c>
    </row>
    <row r="47" spans="1:4" x14ac:dyDescent="0.3">
      <c r="B47" s="12"/>
    </row>
    <row r="48" spans="1:4" x14ac:dyDescent="0.3">
      <c r="B48" s="12"/>
      <c r="C48" s="13"/>
    </row>
    <row r="49" spans="2:3" x14ac:dyDescent="0.3">
      <c r="B49" s="12"/>
      <c r="C49" s="13"/>
    </row>
    <row r="50" spans="2:3" x14ac:dyDescent="0.3">
      <c r="B50" s="12"/>
      <c r="C50" s="13"/>
    </row>
    <row r="51" spans="2:3" x14ac:dyDescent="0.3">
      <c r="B51" s="12"/>
      <c r="C51" s="13"/>
    </row>
    <row r="52" spans="2:3" x14ac:dyDescent="0.3">
      <c r="B52" s="12"/>
      <c r="C52" s="13"/>
    </row>
    <row r="53" spans="2:3" x14ac:dyDescent="0.3">
      <c r="B53" s="12"/>
      <c r="C53" s="13"/>
    </row>
    <row r="54" spans="2:3" x14ac:dyDescent="0.3">
      <c r="B54" s="12"/>
      <c r="C54" s="13"/>
    </row>
    <row r="55" spans="2:3" x14ac:dyDescent="0.3">
      <c r="B55" s="12"/>
      <c r="C55" s="13"/>
    </row>
    <row r="56" spans="2:3" x14ac:dyDescent="0.3">
      <c r="B56" s="12"/>
      <c r="C56" s="13"/>
    </row>
    <row r="57" spans="2:3" x14ac:dyDescent="0.3">
      <c r="B57" s="12"/>
      <c r="C57" s="13"/>
    </row>
    <row r="58" spans="2:3" x14ac:dyDescent="0.3">
      <c r="B58" s="12"/>
      <c r="C58" s="13"/>
    </row>
    <row r="59" spans="2:3" x14ac:dyDescent="0.3">
      <c r="B59" s="12"/>
      <c r="C59" s="13"/>
    </row>
    <row r="60" spans="2:3" x14ac:dyDescent="0.3">
      <c r="B60" s="12"/>
      <c r="C60" s="13"/>
    </row>
    <row r="61" spans="2:3" x14ac:dyDescent="0.3">
      <c r="B61" s="12"/>
      <c r="C61" s="13"/>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4D2D-CCF1-4191-900D-50BF2B9BDBB1}">
  <dimension ref="A1:E60"/>
  <sheetViews>
    <sheetView workbookViewId="0">
      <selection activeCell="C1" sqref="C1"/>
    </sheetView>
  </sheetViews>
  <sheetFormatPr defaultRowHeight="14.4" x14ac:dyDescent="0.3"/>
  <cols>
    <col min="1" max="1" width="9.21875" bestFit="1" customWidth="1"/>
    <col min="2" max="2" width="12.109375" customWidth="1"/>
    <col min="3" max="3" width="20.44140625" customWidth="1"/>
    <col min="4" max="4" width="34.5546875" customWidth="1"/>
    <col min="5" max="5" width="34.6640625" customWidth="1"/>
  </cols>
  <sheetData>
    <row r="1" spans="1:5" x14ac:dyDescent="0.3">
      <c r="A1" t="s">
        <v>99</v>
      </c>
      <c r="B1" t="s">
        <v>137</v>
      </c>
      <c r="C1" t="s">
        <v>138</v>
      </c>
      <c r="D1" t="s">
        <v>139</v>
      </c>
      <c r="E1" t="s">
        <v>140</v>
      </c>
    </row>
    <row r="2" spans="1:5" x14ac:dyDescent="0.3">
      <c r="A2" s="12">
        <v>40544</v>
      </c>
      <c r="B2">
        <v>13</v>
      </c>
    </row>
    <row r="3" spans="1:5" x14ac:dyDescent="0.3">
      <c r="A3" s="12">
        <v>40545</v>
      </c>
      <c r="B3">
        <v>13</v>
      </c>
    </row>
    <row r="4" spans="1:5" x14ac:dyDescent="0.3">
      <c r="A4" s="12">
        <v>40546</v>
      </c>
      <c r="B4">
        <v>5</v>
      </c>
    </row>
    <row r="5" spans="1:5" x14ac:dyDescent="0.3">
      <c r="A5" s="12">
        <v>40547</v>
      </c>
      <c r="B5">
        <v>5</v>
      </c>
    </row>
    <row r="6" spans="1:5" x14ac:dyDescent="0.3">
      <c r="A6" s="12">
        <v>40548</v>
      </c>
      <c r="B6">
        <v>6</v>
      </c>
    </row>
    <row r="7" spans="1:5" x14ac:dyDescent="0.3">
      <c r="A7" s="12">
        <v>40549</v>
      </c>
      <c r="B7">
        <v>11</v>
      </c>
    </row>
    <row r="8" spans="1:5" x14ac:dyDescent="0.3">
      <c r="A8" s="12">
        <v>40550</v>
      </c>
      <c r="B8">
        <v>13</v>
      </c>
    </row>
    <row r="9" spans="1:5" x14ac:dyDescent="0.3">
      <c r="A9" s="12">
        <v>40551</v>
      </c>
      <c r="B9">
        <v>24</v>
      </c>
    </row>
    <row r="10" spans="1:5" x14ac:dyDescent="0.3">
      <c r="A10" s="12">
        <v>40552</v>
      </c>
      <c r="B10">
        <v>24</v>
      </c>
    </row>
    <row r="11" spans="1:5" x14ac:dyDescent="0.3">
      <c r="A11" s="12">
        <v>40553</v>
      </c>
      <c r="B11">
        <v>3</v>
      </c>
    </row>
    <row r="12" spans="1:5" x14ac:dyDescent="0.3">
      <c r="A12" s="12">
        <v>40554</v>
      </c>
      <c r="B12">
        <v>10</v>
      </c>
    </row>
    <row r="13" spans="1:5" x14ac:dyDescent="0.3">
      <c r="A13" s="12">
        <v>40555</v>
      </c>
      <c r="B13">
        <v>7</v>
      </c>
    </row>
    <row r="14" spans="1:5" x14ac:dyDescent="0.3">
      <c r="A14" s="12">
        <v>40556</v>
      </c>
      <c r="B14">
        <v>6</v>
      </c>
    </row>
    <row r="15" spans="1:5" x14ac:dyDescent="0.3">
      <c r="A15" s="12">
        <v>40557</v>
      </c>
      <c r="B15">
        <v>14</v>
      </c>
    </row>
    <row r="16" spans="1:5" x14ac:dyDescent="0.3">
      <c r="A16" s="12">
        <v>40558</v>
      </c>
      <c r="B16">
        <v>25</v>
      </c>
    </row>
    <row r="17" spans="1:2" x14ac:dyDescent="0.3">
      <c r="A17" s="12">
        <v>40559</v>
      </c>
      <c r="B17">
        <v>33</v>
      </c>
    </row>
    <row r="18" spans="1:2" x14ac:dyDescent="0.3">
      <c r="A18" s="12">
        <v>40560</v>
      </c>
      <c r="B18">
        <v>16</v>
      </c>
    </row>
    <row r="19" spans="1:2" x14ac:dyDescent="0.3">
      <c r="A19" s="12">
        <v>40561</v>
      </c>
      <c r="B19">
        <v>3</v>
      </c>
    </row>
    <row r="20" spans="1:2" x14ac:dyDescent="0.3">
      <c r="A20" s="12">
        <v>40562</v>
      </c>
      <c r="B20">
        <v>3</v>
      </c>
    </row>
    <row r="21" spans="1:2" x14ac:dyDescent="0.3">
      <c r="A21" s="12">
        <v>40563</v>
      </c>
      <c r="B21">
        <v>8</v>
      </c>
    </row>
    <row r="22" spans="1:2" x14ac:dyDescent="0.3">
      <c r="A22" s="12">
        <v>40564</v>
      </c>
      <c r="B22">
        <v>20</v>
      </c>
    </row>
    <row r="23" spans="1:2" x14ac:dyDescent="0.3">
      <c r="A23" s="12">
        <v>40565</v>
      </c>
      <c r="B23">
        <v>13</v>
      </c>
    </row>
    <row r="24" spans="1:2" x14ac:dyDescent="0.3">
      <c r="A24" s="12">
        <v>40566</v>
      </c>
      <c r="B24">
        <v>20</v>
      </c>
    </row>
    <row r="25" spans="1:2" x14ac:dyDescent="0.3">
      <c r="A25" s="12">
        <v>40567</v>
      </c>
      <c r="B25">
        <v>7</v>
      </c>
    </row>
    <row r="26" spans="1:2" x14ac:dyDescent="0.3">
      <c r="A26" s="12">
        <v>40568</v>
      </c>
      <c r="B26">
        <v>6</v>
      </c>
    </row>
    <row r="27" spans="1:2" x14ac:dyDescent="0.3">
      <c r="A27" s="12">
        <v>40569</v>
      </c>
      <c r="B27">
        <v>14</v>
      </c>
    </row>
    <row r="28" spans="1:2" x14ac:dyDescent="0.3">
      <c r="A28" s="12">
        <v>40570</v>
      </c>
      <c r="B28">
        <v>23</v>
      </c>
    </row>
    <row r="29" spans="1:2" x14ac:dyDescent="0.3">
      <c r="A29" s="12">
        <v>40571</v>
      </c>
      <c r="B29">
        <v>9</v>
      </c>
    </row>
    <row r="30" spans="1:2" x14ac:dyDescent="0.3">
      <c r="A30" s="12">
        <v>40572</v>
      </c>
      <c r="B30">
        <v>20</v>
      </c>
    </row>
    <row r="31" spans="1:2" x14ac:dyDescent="0.3">
      <c r="A31" s="12">
        <v>40573</v>
      </c>
      <c r="B31">
        <v>33</v>
      </c>
    </row>
    <row r="32" spans="1:2" x14ac:dyDescent="0.3">
      <c r="A32" s="12">
        <v>40574</v>
      </c>
      <c r="B32">
        <v>6</v>
      </c>
    </row>
    <row r="33" spans="1:5" x14ac:dyDescent="0.3">
      <c r="A33" s="12">
        <v>40575</v>
      </c>
      <c r="B33">
        <v>6</v>
      </c>
    </row>
    <row r="34" spans="1:5" x14ac:dyDescent="0.3">
      <c r="A34" s="12">
        <v>40576</v>
      </c>
      <c r="B34">
        <v>2</v>
      </c>
    </row>
    <row r="35" spans="1:5" x14ac:dyDescent="0.3">
      <c r="A35" s="12">
        <v>40577</v>
      </c>
      <c r="B35">
        <v>11</v>
      </c>
    </row>
    <row r="36" spans="1:5" x14ac:dyDescent="0.3">
      <c r="A36" s="12">
        <v>40578</v>
      </c>
      <c r="B36">
        <v>10</v>
      </c>
    </row>
    <row r="37" spans="1:5" x14ac:dyDescent="0.3">
      <c r="A37" s="12">
        <v>40579</v>
      </c>
      <c r="B37">
        <v>36</v>
      </c>
    </row>
    <row r="38" spans="1:5" x14ac:dyDescent="0.3">
      <c r="A38" s="12">
        <v>40580</v>
      </c>
      <c r="B38">
        <v>37</v>
      </c>
    </row>
    <row r="39" spans="1:5" x14ac:dyDescent="0.3">
      <c r="A39" s="12">
        <v>40581</v>
      </c>
      <c r="B39">
        <v>14</v>
      </c>
    </row>
    <row r="40" spans="1:5" x14ac:dyDescent="0.3">
      <c r="A40" s="12">
        <v>40582</v>
      </c>
      <c r="B40">
        <v>6</v>
      </c>
    </row>
    <row r="41" spans="1:5" x14ac:dyDescent="0.3">
      <c r="A41" s="12">
        <v>40583</v>
      </c>
      <c r="B41">
        <v>17</v>
      </c>
    </row>
    <row r="42" spans="1:5" x14ac:dyDescent="0.3">
      <c r="A42" s="12">
        <v>40584</v>
      </c>
      <c r="B42">
        <v>16</v>
      </c>
    </row>
    <row r="43" spans="1:5" x14ac:dyDescent="0.3">
      <c r="A43" s="12">
        <v>40585</v>
      </c>
      <c r="B43">
        <v>12</v>
      </c>
    </row>
    <row r="44" spans="1:5" x14ac:dyDescent="0.3">
      <c r="A44" s="12">
        <v>40586</v>
      </c>
      <c r="B44">
        <v>27</v>
      </c>
    </row>
    <row r="45" spans="1:5" x14ac:dyDescent="0.3">
      <c r="A45" s="12">
        <v>40587</v>
      </c>
      <c r="B45">
        <v>34</v>
      </c>
    </row>
    <row r="46" spans="1:5" x14ac:dyDescent="0.3">
      <c r="A46" s="12">
        <v>40588</v>
      </c>
      <c r="B46">
        <v>8</v>
      </c>
      <c r="C46">
        <v>8</v>
      </c>
      <c r="D46" s="14">
        <v>8</v>
      </c>
      <c r="E46" s="14">
        <v>8</v>
      </c>
    </row>
    <row r="47" spans="1:5" x14ac:dyDescent="0.3">
      <c r="A47" s="12">
        <v>40589</v>
      </c>
      <c r="C47">
        <f t="shared" ref="C47:C60" si="0">_xlfn.FORECAST.ETS(A47,$B$2:$B$46,$A$2:$A$46,1,1)</f>
        <v>12.012396504895804</v>
      </c>
      <c r="D47" s="14">
        <f t="shared" ref="D47:D60" si="1">C47-_xlfn.FORECAST.ETS.CONFINT(A47,$B$2:$B$46,$A$2:$A$46,0.95,1,1)</f>
        <v>0.19943266376622226</v>
      </c>
      <c r="E47" s="14">
        <f t="shared" ref="E47:E60" si="2">C47+_xlfn.FORECAST.ETS.CONFINT(A47,$B$2:$B$46,$A$2:$A$46,0.95,1,1)</f>
        <v>23.825360346025384</v>
      </c>
    </row>
    <row r="48" spans="1:5" x14ac:dyDescent="0.3">
      <c r="A48" s="12">
        <v>40590</v>
      </c>
      <c r="C48">
        <f t="shared" si="0"/>
        <v>11.198600753958583</v>
      </c>
      <c r="D48" s="14">
        <f t="shared" si="1"/>
        <v>-0.70924766613907053</v>
      </c>
      <c r="E48" s="14">
        <f t="shared" si="2"/>
        <v>23.106449174056237</v>
      </c>
    </row>
    <row r="49" spans="1:5" x14ac:dyDescent="0.3">
      <c r="A49" s="12">
        <v>40591</v>
      </c>
      <c r="C49">
        <f t="shared" si="0"/>
        <v>14.300460387633905</v>
      </c>
      <c r="D49" s="14">
        <f t="shared" si="1"/>
        <v>2.2969951571489649</v>
      </c>
      <c r="E49" s="14">
        <f t="shared" si="2"/>
        <v>26.303925618118846</v>
      </c>
    </row>
    <row r="50" spans="1:5" x14ac:dyDescent="0.3">
      <c r="A50" s="12">
        <v>40592</v>
      </c>
      <c r="C50">
        <f t="shared" si="0"/>
        <v>21.875344435374146</v>
      </c>
      <c r="D50" s="14">
        <f t="shared" si="1"/>
        <v>9.7755359891887057</v>
      </c>
      <c r="E50" s="14">
        <f t="shared" si="2"/>
        <v>33.975152881559588</v>
      </c>
    </row>
    <row r="51" spans="1:5" x14ac:dyDescent="0.3">
      <c r="A51" s="12">
        <v>40593</v>
      </c>
      <c r="C51">
        <f t="shared" si="0"/>
        <v>27.058490646153544</v>
      </c>
      <c r="D51" s="14">
        <f t="shared" si="1"/>
        <v>14.861618351462148</v>
      </c>
      <c r="E51" s="14">
        <f t="shared" si="2"/>
        <v>39.25536294084494</v>
      </c>
    </row>
    <row r="52" spans="1:5" x14ac:dyDescent="0.3">
      <c r="A52" s="12">
        <v>40594</v>
      </c>
      <c r="C52">
        <f t="shared" si="0"/>
        <v>31.869634578105423</v>
      </c>
      <c r="D52" s="14">
        <f t="shared" si="1"/>
        <v>19.574983519715019</v>
      </c>
      <c r="E52" s="14">
        <f t="shared" si="2"/>
        <v>44.164285636495826</v>
      </c>
    </row>
    <row r="53" spans="1:5" x14ac:dyDescent="0.3">
      <c r="A53" s="12">
        <v>40595</v>
      </c>
      <c r="C53">
        <f t="shared" si="0"/>
        <v>15.207437759768426</v>
      </c>
      <c r="D53" s="14">
        <f t="shared" si="1"/>
        <v>2.8142986840411091</v>
      </c>
      <c r="E53" s="14">
        <f t="shared" si="2"/>
        <v>27.600576835495744</v>
      </c>
    </row>
    <row r="54" spans="1:5" x14ac:dyDescent="0.3">
      <c r="A54" s="12">
        <v>40596</v>
      </c>
      <c r="C54">
        <f t="shared" si="0"/>
        <v>13.519545329338637</v>
      </c>
      <c r="D54" s="14">
        <f t="shared" si="1"/>
        <v>1.0257234086417899</v>
      </c>
      <c r="E54" s="14">
        <f t="shared" si="2"/>
        <v>26.013367250035486</v>
      </c>
    </row>
    <row r="55" spans="1:5" x14ac:dyDescent="0.3">
      <c r="A55" s="12">
        <v>40597</v>
      </c>
      <c r="C55">
        <f t="shared" si="0"/>
        <v>12.705749578401416</v>
      </c>
      <c r="D55" s="14">
        <f t="shared" si="1"/>
        <v>0.11204971609523362</v>
      </c>
      <c r="E55" s="14">
        <f t="shared" si="2"/>
        <v>25.299449440707598</v>
      </c>
    </row>
    <row r="56" spans="1:5" x14ac:dyDescent="0.3">
      <c r="A56" s="12">
        <v>40598</v>
      </c>
      <c r="C56">
        <f t="shared" si="0"/>
        <v>15.807609212076741</v>
      </c>
      <c r="D56" s="14">
        <f t="shared" si="1"/>
        <v>3.1133386870534938</v>
      </c>
      <c r="E56" s="14">
        <f t="shared" si="2"/>
        <v>28.501879737099991</v>
      </c>
    </row>
    <row r="57" spans="1:5" x14ac:dyDescent="0.3">
      <c r="A57" s="12">
        <v>40599</v>
      </c>
      <c r="C57">
        <f t="shared" si="0"/>
        <v>23.382493259816982</v>
      </c>
      <c r="D57" s="14">
        <f t="shared" si="1"/>
        <v>10.58696477912561</v>
      </c>
      <c r="E57" s="14">
        <f t="shared" si="2"/>
        <v>36.178021740508356</v>
      </c>
    </row>
    <row r="58" spans="1:5" x14ac:dyDescent="0.3">
      <c r="A58" s="12">
        <v>40600</v>
      </c>
      <c r="C58">
        <f t="shared" si="0"/>
        <v>28.565639470596373</v>
      </c>
      <c r="D58" s="14">
        <f t="shared" si="1"/>
        <v>15.66817110943299</v>
      </c>
      <c r="E58" s="14">
        <f t="shared" si="2"/>
        <v>41.463107831759757</v>
      </c>
    </row>
    <row r="59" spans="1:5" x14ac:dyDescent="0.3">
      <c r="A59" s="12">
        <v>40601</v>
      </c>
      <c r="C59">
        <f t="shared" si="0"/>
        <v>33.376783402548256</v>
      </c>
      <c r="D59" s="14">
        <f t="shared" si="1"/>
        <v>20.376698543756653</v>
      </c>
      <c r="E59" s="14">
        <f t="shared" si="2"/>
        <v>46.376868261339858</v>
      </c>
    </row>
    <row r="60" spans="1:5" x14ac:dyDescent="0.3">
      <c r="A60" s="12">
        <v>40602</v>
      </c>
      <c r="C60">
        <f t="shared" si="0"/>
        <v>16.714586584211261</v>
      </c>
      <c r="D60" s="14">
        <f t="shared" si="1"/>
        <v>3.6112138573851613</v>
      </c>
      <c r="E60" s="14">
        <f t="shared" si="2"/>
        <v>29.817959311037363</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1E44-BE77-4120-B642-FA43B022D168}">
  <dimension ref="A1:E75"/>
  <sheetViews>
    <sheetView workbookViewId="0">
      <selection activeCell="E22" sqref="E22"/>
    </sheetView>
  </sheetViews>
  <sheetFormatPr defaultRowHeight="14.4" x14ac:dyDescent="0.3"/>
  <cols>
    <col min="1" max="1" width="10" customWidth="1"/>
    <col min="2" max="2" width="9" bestFit="1" customWidth="1"/>
    <col min="3" max="3" width="9.88671875" customWidth="1"/>
    <col min="4" max="4" width="24" customWidth="1"/>
    <col min="5" max="5" width="24.109375" customWidth="1"/>
  </cols>
  <sheetData>
    <row r="1" spans="1:5" x14ac:dyDescent="0.3">
      <c r="A1" t="s">
        <v>132</v>
      </c>
      <c r="B1" t="s">
        <v>133</v>
      </c>
      <c r="C1" t="s">
        <v>134</v>
      </c>
      <c r="D1" t="s">
        <v>135</v>
      </c>
      <c r="E1" t="s">
        <v>136</v>
      </c>
    </row>
    <row r="2" spans="1:5" x14ac:dyDescent="0.3">
      <c r="A2" s="12">
        <v>40544</v>
      </c>
      <c r="B2">
        <v>3</v>
      </c>
    </row>
    <row r="3" spans="1:5" x14ac:dyDescent="0.3">
      <c r="A3" s="12">
        <v>40545</v>
      </c>
      <c r="B3">
        <v>4</v>
      </c>
    </row>
    <row r="4" spans="1:5" x14ac:dyDescent="0.3">
      <c r="A4" s="12">
        <v>40546</v>
      </c>
      <c r="B4">
        <v>0</v>
      </c>
    </row>
    <row r="5" spans="1:5" x14ac:dyDescent="0.3">
      <c r="A5" s="12">
        <v>40547</v>
      </c>
      <c r="B5">
        <v>0</v>
      </c>
    </row>
    <row r="6" spans="1:5" x14ac:dyDescent="0.3">
      <c r="A6" s="12">
        <v>40548</v>
      </c>
      <c r="B6">
        <v>0</v>
      </c>
    </row>
    <row r="7" spans="1:5" x14ac:dyDescent="0.3">
      <c r="A7" s="12">
        <v>40549</v>
      </c>
      <c r="B7">
        <v>0</v>
      </c>
    </row>
    <row r="8" spans="1:5" x14ac:dyDescent="0.3">
      <c r="A8" s="12">
        <v>40550</v>
      </c>
      <c r="B8">
        <v>4</v>
      </c>
    </row>
    <row r="9" spans="1:5" x14ac:dyDescent="0.3">
      <c r="A9" s="12">
        <v>40551</v>
      </c>
      <c r="B9">
        <v>1</v>
      </c>
    </row>
    <row r="10" spans="1:5" x14ac:dyDescent="0.3">
      <c r="A10" s="12">
        <v>40552</v>
      </c>
      <c r="B10">
        <v>1</v>
      </c>
    </row>
    <row r="11" spans="1:5" x14ac:dyDescent="0.3">
      <c r="A11" s="12">
        <v>40553</v>
      </c>
      <c r="B11">
        <v>2</v>
      </c>
    </row>
    <row r="12" spans="1:5" x14ac:dyDescent="0.3">
      <c r="A12" s="12">
        <v>40554</v>
      </c>
      <c r="B12">
        <v>2</v>
      </c>
    </row>
    <row r="13" spans="1:5" x14ac:dyDescent="0.3">
      <c r="A13" s="12">
        <v>40555</v>
      </c>
      <c r="B13">
        <v>0</v>
      </c>
    </row>
    <row r="14" spans="1:5" x14ac:dyDescent="0.3">
      <c r="A14" s="12">
        <v>40556</v>
      </c>
      <c r="B14">
        <v>1</v>
      </c>
    </row>
    <row r="15" spans="1:5" x14ac:dyDescent="0.3">
      <c r="A15" s="12">
        <v>40557</v>
      </c>
      <c r="B15">
        <v>0</v>
      </c>
    </row>
    <row r="16" spans="1:5" x14ac:dyDescent="0.3">
      <c r="A16" s="12">
        <v>40558</v>
      </c>
      <c r="B16">
        <v>3</v>
      </c>
    </row>
    <row r="17" spans="1:2" x14ac:dyDescent="0.3">
      <c r="A17" s="12">
        <v>40559</v>
      </c>
      <c r="B17">
        <v>6</v>
      </c>
    </row>
    <row r="18" spans="1:2" x14ac:dyDescent="0.3">
      <c r="A18" s="12">
        <v>40560</v>
      </c>
      <c r="B18">
        <v>1</v>
      </c>
    </row>
    <row r="19" spans="1:2" x14ac:dyDescent="0.3">
      <c r="A19" s="12">
        <v>40561</v>
      </c>
      <c r="B19">
        <v>0</v>
      </c>
    </row>
    <row r="20" spans="1:2" x14ac:dyDescent="0.3">
      <c r="A20" s="12">
        <v>40562</v>
      </c>
      <c r="B20">
        <v>0</v>
      </c>
    </row>
    <row r="21" spans="1:2" x14ac:dyDescent="0.3">
      <c r="A21" s="12">
        <v>40563</v>
      </c>
      <c r="B21">
        <v>5</v>
      </c>
    </row>
    <row r="22" spans="1:2" x14ac:dyDescent="0.3">
      <c r="A22" s="12">
        <v>40564</v>
      </c>
      <c r="B22">
        <v>1</v>
      </c>
    </row>
    <row r="23" spans="1:2" x14ac:dyDescent="0.3">
      <c r="A23" s="12">
        <v>40565</v>
      </c>
      <c r="B23">
        <v>0</v>
      </c>
    </row>
    <row r="24" spans="1:2" x14ac:dyDescent="0.3">
      <c r="A24" s="12">
        <v>40566</v>
      </c>
      <c r="B24">
        <v>2</v>
      </c>
    </row>
    <row r="25" spans="1:2" x14ac:dyDescent="0.3">
      <c r="A25" s="12">
        <v>40567</v>
      </c>
      <c r="B25">
        <v>0</v>
      </c>
    </row>
    <row r="26" spans="1:2" x14ac:dyDescent="0.3">
      <c r="A26" s="12">
        <v>40568</v>
      </c>
      <c r="B26">
        <v>3</v>
      </c>
    </row>
    <row r="27" spans="1:2" x14ac:dyDescent="0.3">
      <c r="A27" s="12">
        <v>40569</v>
      </c>
      <c r="B27">
        <v>3</v>
      </c>
    </row>
    <row r="28" spans="1:2" x14ac:dyDescent="0.3">
      <c r="A28" s="12">
        <v>40570</v>
      </c>
      <c r="B28">
        <v>1</v>
      </c>
    </row>
    <row r="29" spans="1:2" x14ac:dyDescent="0.3">
      <c r="A29" s="12">
        <v>40571</v>
      </c>
      <c r="B29">
        <v>0</v>
      </c>
    </row>
    <row r="30" spans="1:2" x14ac:dyDescent="0.3">
      <c r="A30" s="12">
        <v>40572</v>
      </c>
      <c r="B30">
        <v>0</v>
      </c>
    </row>
    <row r="31" spans="1:2" x14ac:dyDescent="0.3">
      <c r="A31" s="12">
        <v>40573</v>
      </c>
      <c r="B31">
        <v>0</v>
      </c>
    </row>
    <row r="32" spans="1:2" x14ac:dyDescent="0.3">
      <c r="A32" s="12">
        <v>40574</v>
      </c>
      <c r="B32">
        <v>1</v>
      </c>
    </row>
    <row r="33" spans="1:3" x14ac:dyDescent="0.3">
      <c r="A33" s="12">
        <v>40575</v>
      </c>
      <c r="B33">
        <v>2</v>
      </c>
    </row>
    <row r="34" spans="1:3" x14ac:dyDescent="0.3">
      <c r="A34" s="12">
        <v>40576</v>
      </c>
      <c r="B34">
        <v>0</v>
      </c>
    </row>
    <row r="35" spans="1:3" x14ac:dyDescent="0.3">
      <c r="A35" s="12">
        <v>40577</v>
      </c>
      <c r="B35">
        <v>1</v>
      </c>
    </row>
    <row r="36" spans="1:3" x14ac:dyDescent="0.3">
      <c r="A36" s="12">
        <v>40578</v>
      </c>
      <c r="B36">
        <v>3</v>
      </c>
    </row>
    <row r="37" spans="1:3" x14ac:dyDescent="0.3">
      <c r="A37" s="12">
        <v>40579</v>
      </c>
      <c r="B37">
        <v>3</v>
      </c>
    </row>
    <row r="38" spans="1:3" x14ac:dyDescent="0.3">
      <c r="A38" s="12">
        <v>40580</v>
      </c>
      <c r="B38">
        <v>2</v>
      </c>
    </row>
    <row r="39" spans="1:3" x14ac:dyDescent="0.3">
      <c r="A39" s="12">
        <v>40581</v>
      </c>
      <c r="B39">
        <v>1</v>
      </c>
    </row>
    <row r="40" spans="1:3" x14ac:dyDescent="0.3">
      <c r="A40" s="12">
        <v>40582</v>
      </c>
      <c r="B40">
        <v>4</v>
      </c>
    </row>
    <row r="41" spans="1:3" x14ac:dyDescent="0.3">
      <c r="A41" s="12">
        <v>40583</v>
      </c>
      <c r="B41">
        <v>0</v>
      </c>
    </row>
    <row r="42" spans="1:3" x14ac:dyDescent="0.3">
      <c r="A42" s="12">
        <v>40584</v>
      </c>
      <c r="B42">
        <v>0</v>
      </c>
    </row>
    <row r="43" spans="1:3" x14ac:dyDescent="0.3">
      <c r="A43" s="12">
        <v>40585</v>
      </c>
      <c r="B43">
        <v>2</v>
      </c>
    </row>
    <row r="44" spans="1:3" x14ac:dyDescent="0.3">
      <c r="A44" s="12">
        <v>40586</v>
      </c>
      <c r="B44">
        <v>3</v>
      </c>
    </row>
    <row r="45" spans="1:3" x14ac:dyDescent="0.3">
      <c r="A45" s="12">
        <v>40587</v>
      </c>
      <c r="B45">
        <v>5</v>
      </c>
    </row>
    <row r="46" spans="1:3" x14ac:dyDescent="0.3">
      <c r="A46" s="12">
        <v>40588</v>
      </c>
      <c r="B46">
        <v>3</v>
      </c>
    </row>
    <row r="47" spans="1:3" x14ac:dyDescent="0.3">
      <c r="A47" s="12">
        <v>40589</v>
      </c>
      <c r="B47" s="13">
        <v>1.9707070707071352</v>
      </c>
      <c r="C47" s="13"/>
    </row>
    <row r="48" spans="1:3" x14ac:dyDescent="0.3">
      <c r="A48" s="12">
        <v>40590</v>
      </c>
      <c r="B48" s="13">
        <v>1.9858585858586366</v>
      </c>
      <c r="C48" s="13"/>
    </row>
    <row r="49" spans="1:5" x14ac:dyDescent="0.3">
      <c r="A49" s="12">
        <v>40591</v>
      </c>
      <c r="B49" s="13">
        <v>2.001010101010138</v>
      </c>
      <c r="C49" s="13"/>
    </row>
    <row r="50" spans="1:5" x14ac:dyDescent="0.3">
      <c r="A50" s="12">
        <v>40592</v>
      </c>
      <c r="B50" s="13">
        <v>2.0161616161616394</v>
      </c>
      <c r="C50" s="13"/>
    </row>
    <row r="51" spans="1:5" x14ac:dyDescent="0.3">
      <c r="A51" s="12">
        <v>40593</v>
      </c>
      <c r="B51" s="13">
        <v>2.0313131313132544</v>
      </c>
      <c r="C51" s="13"/>
    </row>
    <row r="52" spans="1:5" x14ac:dyDescent="0.3">
      <c r="A52" s="12">
        <v>40594</v>
      </c>
      <c r="B52" s="13">
        <v>2.0464646464647558</v>
      </c>
      <c r="C52" s="13"/>
    </row>
    <row r="53" spans="1:5" x14ac:dyDescent="0.3">
      <c r="A53" s="12">
        <v>40595</v>
      </c>
      <c r="B53" s="13">
        <v>2.0616161616162572</v>
      </c>
      <c r="C53" s="13"/>
    </row>
    <row r="54" spans="1:5" x14ac:dyDescent="0.3">
      <c r="A54" s="12">
        <v>40596</v>
      </c>
      <c r="B54" s="13">
        <v>2.0767676767677585</v>
      </c>
      <c r="C54" s="13"/>
    </row>
    <row r="55" spans="1:5" x14ac:dyDescent="0.3">
      <c r="A55" s="12">
        <v>40597</v>
      </c>
      <c r="B55" s="13">
        <v>2.0919191919192599</v>
      </c>
      <c r="C55" s="13"/>
    </row>
    <row r="56" spans="1:5" x14ac:dyDescent="0.3">
      <c r="A56" s="12">
        <v>40598</v>
      </c>
      <c r="B56" s="13">
        <v>2.1070707070707613</v>
      </c>
      <c r="C56" s="13"/>
    </row>
    <row r="57" spans="1:5" x14ac:dyDescent="0.3">
      <c r="A57" s="12">
        <v>40599</v>
      </c>
      <c r="B57" s="13">
        <v>2.1222222222222626</v>
      </c>
      <c r="C57" s="13"/>
    </row>
    <row r="58" spans="1:5" x14ac:dyDescent="0.3">
      <c r="A58" s="12">
        <v>40600</v>
      </c>
      <c r="B58" s="13">
        <v>2.137373737373764</v>
      </c>
      <c r="C58" s="13"/>
    </row>
    <row r="59" spans="1:5" x14ac:dyDescent="0.3">
      <c r="A59" s="12">
        <v>40601</v>
      </c>
      <c r="B59" s="13">
        <v>2.1525252525252654</v>
      </c>
      <c r="C59" s="13"/>
    </row>
    <row r="60" spans="1:5" x14ac:dyDescent="0.3">
      <c r="A60" s="12">
        <v>40602</v>
      </c>
      <c r="B60" s="13">
        <v>2.1676767676768804</v>
      </c>
      <c r="C60" s="13">
        <v>2.1676767676768804</v>
      </c>
      <c r="D60" s="14">
        <v>2.1676767676768804</v>
      </c>
      <c r="E60" s="14">
        <v>2.1676767676768804</v>
      </c>
    </row>
    <row r="61" spans="1:5" x14ac:dyDescent="0.3">
      <c r="A61" s="12">
        <v>40603</v>
      </c>
      <c r="B61" s="13"/>
      <c r="C61" s="13">
        <f t="shared" ref="C61:C75" si="0">_xlfn.FORECAST.ETS(A61,$B$2:$B$60,$A$2:$A$60,1,1)</f>
        <v>2.1619786883420002</v>
      </c>
      <c r="D61" s="14">
        <f t="shared" ref="D61:D75" si="1">C61-_xlfn.FORECAST.ETS.CONFINT(A61,$B$2:$B$60,$A$2:$A$60,0.95,1,1)</f>
        <v>-0.86440745019163501</v>
      </c>
      <c r="E61" s="14">
        <f t="shared" ref="E61:E75" si="2">C61+_xlfn.FORECAST.ETS.CONFINT(A61,$B$2:$B$60,$A$2:$A$60,0.95,1,1)</f>
        <v>5.1883648268756355</v>
      </c>
    </row>
    <row r="62" spans="1:5" x14ac:dyDescent="0.3">
      <c r="A62" s="12">
        <v>40604</v>
      </c>
      <c r="B62" s="13"/>
      <c r="C62" s="13">
        <f t="shared" si="0"/>
        <v>2.1681943944576587</v>
      </c>
      <c r="D62" s="14">
        <f t="shared" si="1"/>
        <v>-0.88250040855776968</v>
      </c>
      <c r="E62" s="14">
        <f t="shared" si="2"/>
        <v>5.2188891974730875</v>
      </c>
    </row>
    <row r="63" spans="1:5" x14ac:dyDescent="0.3">
      <c r="A63" s="12">
        <v>40605</v>
      </c>
      <c r="B63" s="13"/>
      <c r="C63" s="13">
        <f t="shared" si="0"/>
        <v>2.1744101005733172</v>
      </c>
      <c r="D63" s="14">
        <f t="shared" si="1"/>
        <v>-0.90078095871264674</v>
      </c>
      <c r="E63" s="14">
        <f t="shared" si="2"/>
        <v>5.2496011598592816</v>
      </c>
    </row>
    <row r="64" spans="1:5" x14ac:dyDescent="0.3">
      <c r="A64" s="12">
        <v>40606</v>
      </c>
      <c r="B64" s="13"/>
      <c r="C64" s="13">
        <f t="shared" si="0"/>
        <v>2.1806258066889757</v>
      </c>
      <c r="D64" s="14">
        <f t="shared" si="1"/>
        <v>-0.91924760805486017</v>
      </c>
      <c r="E64" s="14">
        <f t="shared" si="2"/>
        <v>5.2804992214328115</v>
      </c>
    </row>
    <row r="65" spans="1:5" x14ac:dyDescent="0.3">
      <c r="A65" s="12">
        <v>40607</v>
      </c>
      <c r="B65" s="13"/>
      <c r="C65" s="13">
        <f t="shared" si="0"/>
        <v>2.1868415128046341</v>
      </c>
      <c r="D65" s="14">
        <f t="shared" si="1"/>
        <v>-0.93789887771444169</v>
      </c>
      <c r="E65" s="14">
        <f t="shared" si="2"/>
        <v>5.3115819033237095</v>
      </c>
    </row>
    <row r="66" spans="1:5" x14ac:dyDescent="0.3">
      <c r="A66" s="12">
        <v>40608</v>
      </c>
      <c r="B66" s="13"/>
      <c r="C66" s="13">
        <f t="shared" si="0"/>
        <v>2.1930572189202926</v>
      </c>
      <c r="D66" s="14">
        <f t="shared" si="1"/>
        <v>-0.95673330288517056</v>
      </c>
      <c r="E66" s="14">
        <f t="shared" si="2"/>
        <v>5.3428477407257553</v>
      </c>
    </row>
    <row r="67" spans="1:5" x14ac:dyDescent="0.3">
      <c r="A67" s="12">
        <v>40609</v>
      </c>
      <c r="B67" s="13"/>
      <c r="C67" s="13">
        <f t="shared" si="0"/>
        <v>2.1992729250359511</v>
      </c>
      <c r="D67" s="14">
        <f t="shared" si="1"/>
        <v>-0.97574943312224161</v>
      </c>
      <c r="E67" s="14">
        <f t="shared" si="2"/>
        <v>5.3742952831941437</v>
      </c>
    </row>
    <row r="68" spans="1:5" x14ac:dyDescent="0.3">
      <c r="A68" s="12">
        <v>40610</v>
      </c>
      <c r="B68" s="13"/>
      <c r="C68" s="13">
        <f t="shared" si="0"/>
        <v>2.2054886311516095</v>
      </c>
      <c r="D68" s="14">
        <f t="shared" si="1"/>
        <v>-0.9949458326070304</v>
      </c>
      <c r="E68" s="14">
        <f t="shared" si="2"/>
        <v>5.4059230949102499</v>
      </c>
    </row>
    <row r="69" spans="1:5" x14ac:dyDescent="0.3">
      <c r="A69" s="12">
        <v>40611</v>
      </c>
      <c r="B69" s="13"/>
      <c r="C69" s="13">
        <f t="shared" si="0"/>
        <v>2.211704337267268</v>
      </c>
      <c r="D69" s="14">
        <f t="shared" si="1"/>
        <v>-1.0143210803806757</v>
      </c>
      <c r="E69" s="14">
        <f t="shared" si="2"/>
        <v>5.4377297549152122</v>
      </c>
    </row>
    <row r="70" spans="1:5" x14ac:dyDescent="0.3">
      <c r="A70" s="12">
        <v>40612</v>
      </c>
      <c r="B70" s="13"/>
      <c r="C70" s="13">
        <f t="shared" si="0"/>
        <v>2.2179200433829265</v>
      </c>
      <c r="D70" s="14">
        <f t="shared" si="1"/>
        <v>-1.0338737705481065</v>
      </c>
      <c r="E70" s="14">
        <f t="shared" si="2"/>
        <v>5.469713857313959</v>
      </c>
    </row>
    <row r="71" spans="1:5" x14ac:dyDescent="0.3">
      <c r="A71" s="12">
        <v>40613</v>
      </c>
      <c r="B71" s="13"/>
      <c r="C71" s="13">
        <f t="shared" si="0"/>
        <v>2.2241357494985849</v>
      </c>
      <c r="D71" s="14">
        <f t="shared" si="1"/>
        <v>-1.0536025124541299</v>
      </c>
      <c r="E71" s="14">
        <f t="shared" si="2"/>
        <v>5.5018740114512994</v>
      </c>
    </row>
    <row r="72" spans="1:5" x14ac:dyDescent="0.3">
      <c r="A72" s="12">
        <v>40614</v>
      </c>
      <c r="B72" s="13"/>
      <c r="C72" s="13">
        <f t="shared" si="0"/>
        <v>2.2303514556142434</v>
      </c>
      <c r="D72" s="14">
        <f t="shared" si="1"/>
        <v>-1.0735059308331074</v>
      </c>
      <c r="E72" s="14">
        <f t="shared" si="2"/>
        <v>5.5342088420615942</v>
      </c>
    </row>
    <row r="73" spans="1:5" x14ac:dyDescent="0.3">
      <c r="A73" s="12">
        <v>40615</v>
      </c>
      <c r="B73" s="13"/>
      <c r="C73" s="13">
        <f t="shared" si="0"/>
        <v>2.2365671617299019</v>
      </c>
      <c r="D73" s="14">
        <f t="shared" si="1"/>
        <v>-1.0935826659337127</v>
      </c>
      <c r="E73" s="14">
        <f t="shared" si="2"/>
        <v>5.566716989393516</v>
      </c>
    </row>
    <row r="74" spans="1:5" x14ac:dyDescent="0.3">
      <c r="A74" s="12">
        <v>40616</v>
      </c>
      <c r="B74" s="13"/>
      <c r="C74" s="13">
        <f t="shared" si="0"/>
        <v>2.2427828678455604</v>
      </c>
      <c r="D74" s="14">
        <f t="shared" si="1"/>
        <v>-1.1138313736202008</v>
      </c>
      <c r="E74" s="14">
        <f t="shared" si="2"/>
        <v>5.5993971093113215</v>
      </c>
    </row>
    <row r="75" spans="1:5" x14ac:dyDescent="0.3">
      <c r="A75" s="12">
        <v>40617</v>
      </c>
      <c r="B75" s="13"/>
      <c r="C75" s="13">
        <f t="shared" si="0"/>
        <v>2.2489985739612188</v>
      </c>
      <c r="D75" s="14">
        <f t="shared" si="1"/>
        <v>-1.134250725451571</v>
      </c>
      <c r="E75" s="14">
        <f t="shared" si="2"/>
        <v>5.6322478733740091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Cleaned Data</vt:lpstr>
      <vt:lpstr>Appended Sheet</vt:lpstr>
      <vt:lpstr>Outlier</vt:lpstr>
      <vt:lpstr>Pivot</vt:lpstr>
      <vt:lpstr>Forecast</vt:lpstr>
      <vt:lpstr>Registered forecast</vt:lpstr>
      <vt:lpstr>Casual riderforecast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Shrikant Goswami</dc:creator>
  <cp:lastModifiedBy>Shrikant Goswami</cp:lastModifiedBy>
  <dcterms:created xsi:type="dcterms:W3CDTF">2015-06-05T18:17:20Z</dcterms:created>
  <dcterms:modified xsi:type="dcterms:W3CDTF">2026-10-10T13:53:32Z</dcterms:modified>
</cp:coreProperties>
</file>